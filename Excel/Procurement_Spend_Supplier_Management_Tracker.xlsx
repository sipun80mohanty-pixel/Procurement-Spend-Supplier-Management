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ipun\Downloads\"/>
    </mc:Choice>
  </mc:AlternateContent>
  <xr:revisionPtr revIDLastSave="0" documentId="8_{F1DF6D1C-1466-4969-9C17-983DF71DAA6B}" xr6:coauthVersionLast="47" xr6:coauthVersionMax="47" xr10:uidLastSave="{00000000-0000-0000-0000-000000000000}"/>
  <bookViews>
    <workbookView xWindow="-108" yWindow="-108" windowWidth="23256" windowHeight="12456" activeTab="3" xr2:uid="{A752E3C4-43AC-41A4-BAED-1EC3025D6020}"/>
  </bookViews>
  <sheets>
    <sheet name="PO Data" sheetId="1" r:id="rId1"/>
    <sheet name="Supplier Master" sheetId="2" r:id="rId2"/>
    <sheet name="Analysis" sheetId="4" r:id="rId3"/>
    <sheet name="Month-wise Analysis" sheetId="6" r:id="rId4"/>
    <sheet name="Dashboard" sheetId="5" r:id="rId5"/>
  </sheets>
  <calcPr calcId="191029"/>
  <pivotCaches>
    <pivotCache cacheId="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6" i="5" l="1"/>
  <c r="L15" i="5"/>
  <c r="L14" i="5"/>
  <c r="L13" i="5"/>
  <c r="L12" i="5"/>
  <c r="L11" i="5"/>
  <c r="L10" i="5"/>
  <c r="L9" i="5"/>
  <c r="L8" i="5"/>
  <c r="L7" i="5"/>
  <c r="L6" i="5"/>
  <c r="L5" i="5"/>
  <c r="L4" i="5"/>
  <c r="L3" i="5"/>
  <c r="L2" i="5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21" i="4"/>
  <c r="B21" i="5"/>
  <c r="B15" i="5"/>
  <c r="B14" i="5"/>
  <c r="B13" i="5"/>
  <c r="B12" i="5"/>
  <c r="B11" i="5"/>
  <c r="B10" i="5"/>
  <c r="B6" i="5"/>
  <c r="B5" i="5"/>
  <c r="B4" i="5"/>
  <c r="B3" i="5"/>
  <c r="B3" i="4"/>
  <c r="B4" i="4"/>
  <c r="B5" i="4"/>
  <c r="B6" i="4"/>
  <c r="B7" i="4"/>
  <c r="B8" i="4"/>
  <c r="B7" i="5"/>
  <c r="D2" i="1"/>
  <c r="B19" i="5"/>
  <c r="B20" i="5"/>
  <c r="B12" i="4"/>
  <c r="B13" i="4"/>
  <c r="B11" i="4"/>
  <c r="B14" i="4"/>
  <c r="B15" i="4"/>
  <c r="B16" i="4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E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B22" i="5" l="1"/>
</calcChain>
</file>

<file path=xl/sharedStrings.xml><?xml version="1.0" encoding="utf-8"?>
<sst xmlns="http://schemas.openxmlformats.org/spreadsheetml/2006/main" count="1208" uniqueCount="268">
  <si>
    <t>Supplier ID</t>
  </si>
  <si>
    <t>Supplier Name</t>
  </si>
  <si>
    <t>City</t>
  </si>
  <si>
    <t>S001</t>
  </si>
  <si>
    <t>ABC Enterprises</t>
  </si>
  <si>
    <t>Bhubaneswar</t>
  </si>
  <si>
    <t>S002</t>
  </si>
  <si>
    <t>Reliance Supplies</t>
  </si>
  <si>
    <t>Cuttack</t>
  </si>
  <si>
    <t>S003</t>
  </si>
  <si>
    <t>Global Office Solutions</t>
  </si>
  <si>
    <t>Kolkata</t>
  </si>
  <si>
    <t>S004</t>
  </si>
  <si>
    <t>Prime Industrial</t>
  </si>
  <si>
    <t>Mumbai</t>
  </si>
  <si>
    <t>S005</t>
  </si>
  <si>
    <t>Eastern Traders</t>
  </si>
  <si>
    <t>S006</t>
  </si>
  <si>
    <t>Techno Supply Co</t>
  </si>
  <si>
    <t>Pune</t>
  </si>
  <si>
    <t>S007</t>
  </si>
  <si>
    <t>Metro Wholesale</t>
  </si>
  <si>
    <t>Delhi</t>
  </si>
  <si>
    <t>S008</t>
  </si>
  <si>
    <t>Sunrise Enterprises</t>
  </si>
  <si>
    <t>Hyderabad</t>
  </si>
  <si>
    <t>S009</t>
  </si>
  <si>
    <t>Odisha Industrial Supply</t>
  </si>
  <si>
    <t>S010</t>
  </si>
  <si>
    <t>National Distributors</t>
  </si>
  <si>
    <t>Chennai</t>
  </si>
  <si>
    <t>S011</t>
  </si>
  <si>
    <t>Vertex Supplies</t>
  </si>
  <si>
    <t>Bangalore</t>
  </si>
  <si>
    <t>S012</t>
  </si>
  <si>
    <t>Cityline Traders</t>
  </si>
  <si>
    <t>S013</t>
  </si>
  <si>
    <t>Pioneer Products</t>
  </si>
  <si>
    <t>S014</t>
  </si>
  <si>
    <t>Smart Source India</t>
  </si>
  <si>
    <t>S015</t>
  </si>
  <si>
    <t>United Suppliers</t>
  </si>
  <si>
    <t xml:space="preserve">                  ABC Enterprises</t>
  </si>
  <si>
    <t xml:space="preserve">                  Reliance Supplies</t>
  </si>
  <si>
    <t xml:space="preserve">                  Global Office Solutions</t>
  </si>
  <si>
    <t xml:space="preserve">                  Prime Industrial</t>
  </si>
  <si>
    <t xml:space="preserve">                  Eastern Traders</t>
  </si>
  <si>
    <t xml:space="preserve">                  Techno Supply Co</t>
  </si>
  <si>
    <t xml:space="preserve">                  Metro Wholesale</t>
  </si>
  <si>
    <t xml:space="preserve">                  Sunrise Enterprises</t>
  </si>
  <si>
    <t xml:space="preserve">                  Odisha Industrial Supply</t>
  </si>
  <si>
    <t xml:space="preserve">                  National Distributors</t>
  </si>
  <si>
    <t xml:space="preserve">                  Vertex Supplies</t>
  </si>
  <si>
    <t xml:space="preserve">                  Cityline Traders</t>
  </si>
  <si>
    <t xml:space="preserve">                  Pioneer Products</t>
  </si>
  <si>
    <t xml:space="preserve">                  Smart Source India</t>
  </si>
  <si>
    <t xml:space="preserve">                  United Suppliers</t>
  </si>
  <si>
    <t xml:space="preserve">                  Supplier Name</t>
  </si>
  <si>
    <t xml:space="preserve">                       Bhubaneswar</t>
  </si>
  <si>
    <t xml:space="preserve">                       Cuttack</t>
  </si>
  <si>
    <t xml:space="preserve">                        Kolkata</t>
  </si>
  <si>
    <t xml:space="preserve">                        Mumbai</t>
  </si>
  <si>
    <t xml:space="preserve">                        Bhubaneswar</t>
  </si>
  <si>
    <t xml:space="preserve">                        Pune</t>
  </si>
  <si>
    <t xml:space="preserve">                        Delhi</t>
  </si>
  <si>
    <t xml:space="preserve">                        Hyderabad</t>
  </si>
  <si>
    <t xml:space="preserve">                        Chennai</t>
  </si>
  <si>
    <t xml:space="preserve">                        Bangalore</t>
  </si>
  <si>
    <t xml:space="preserve">                        Cuttack</t>
  </si>
  <si>
    <t xml:space="preserve">                            City</t>
  </si>
  <si>
    <t>PO Number</t>
  </si>
  <si>
    <t>PO Date</t>
  </si>
  <si>
    <t>Category</t>
  </si>
  <si>
    <t>Quantity</t>
  </si>
  <si>
    <t>Unit Price</t>
  </si>
  <si>
    <t>PO Value</t>
  </si>
  <si>
    <t>Expected Delivery</t>
  </si>
  <si>
    <t>Actual Delivery</t>
  </si>
  <si>
    <t>Status</t>
  </si>
  <si>
    <t>PO1001</t>
  </si>
  <si>
    <t>Office Supplies</t>
  </si>
  <si>
    <t>Delivered</t>
  </si>
  <si>
    <t>PO1002</t>
  </si>
  <si>
    <t>Electronics</t>
  </si>
  <si>
    <t>Pending</t>
  </si>
  <si>
    <t>PO1003</t>
  </si>
  <si>
    <t>Stationery</t>
  </si>
  <si>
    <t>PO1004</t>
  </si>
  <si>
    <t>Industrial Equipment</t>
  </si>
  <si>
    <t>Partially Delivered</t>
  </si>
  <si>
    <t>PO1005</t>
  </si>
  <si>
    <t>PO1006</t>
  </si>
  <si>
    <t>IT Equipment</t>
  </si>
  <si>
    <t>PO1007</t>
  </si>
  <si>
    <t>PO1008</t>
  </si>
  <si>
    <t>Cleaning Supplies</t>
  </si>
  <si>
    <t>PO1009</t>
  </si>
  <si>
    <t>PO1010</t>
  </si>
  <si>
    <t>PO1011</t>
  </si>
  <si>
    <t>PO1012</t>
  </si>
  <si>
    <t>PO1013</t>
  </si>
  <si>
    <t>PO1014</t>
  </si>
  <si>
    <t>PO1015</t>
  </si>
  <si>
    <t>PO1016</t>
  </si>
  <si>
    <t>PO1017</t>
  </si>
  <si>
    <t>PO1018</t>
  </si>
  <si>
    <t>PO1019</t>
  </si>
  <si>
    <t>PO1020</t>
  </si>
  <si>
    <t>Delivery Check</t>
  </si>
  <si>
    <t>Total PO</t>
  </si>
  <si>
    <t>Total Spend</t>
  </si>
  <si>
    <t>Late Deliveries</t>
  </si>
  <si>
    <t xml:space="preserve">                                Procurement Summary</t>
  </si>
  <si>
    <t xml:space="preserve">    Total Spend</t>
  </si>
  <si>
    <t>Count</t>
  </si>
  <si>
    <r>
      <t xml:space="preserve">      </t>
    </r>
    <r>
      <rPr>
        <b/>
        <sz val="11"/>
        <color theme="8" tint="-0.249977111117893"/>
        <rFont val="Calibri"/>
        <family val="2"/>
        <scheme val="minor"/>
      </rPr>
      <t>PROCUREMENT DASHBOARD</t>
    </r>
  </si>
  <si>
    <t>PO1021</t>
  </si>
  <si>
    <t>On Time</t>
  </si>
  <si>
    <t>PO1022</t>
  </si>
  <si>
    <t>Late</t>
  </si>
  <si>
    <t>PO1023</t>
  </si>
  <si>
    <t>PO1024</t>
  </si>
  <si>
    <t>PO1025</t>
  </si>
  <si>
    <t>PO1026</t>
  </si>
  <si>
    <t>PO1027</t>
  </si>
  <si>
    <t>PO1028</t>
  </si>
  <si>
    <t>PO1029</t>
  </si>
  <si>
    <t>PO1030</t>
  </si>
  <si>
    <t>PO1031</t>
  </si>
  <si>
    <t>PO1032</t>
  </si>
  <si>
    <t>PO1033</t>
  </si>
  <si>
    <t>PO1034</t>
  </si>
  <si>
    <t>PO1035</t>
  </si>
  <si>
    <t>PO1036</t>
  </si>
  <si>
    <t>PO1037</t>
  </si>
  <si>
    <t>PO1038</t>
  </si>
  <si>
    <t>PO1039</t>
  </si>
  <si>
    <t>PO1040</t>
  </si>
  <si>
    <t>PO1041</t>
  </si>
  <si>
    <t>PO1042</t>
  </si>
  <si>
    <t>PO1043</t>
  </si>
  <si>
    <t>PO1044</t>
  </si>
  <si>
    <t>PO1045</t>
  </si>
  <si>
    <t>PO1046</t>
  </si>
  <si>
    <t>PO1047</t>
  </si>
  <si>
    <t>PO1048</t>
  </si>
  <si>
    <t>PO1049</t>
  </si>
  <si>
    <t>PO1050</t>
  </si>
  <si>
    <t>PO1051</t>
  </si>
  <si>
    <t>PO1052</t>
  </si>
  <si>
    <t>PO1053</t>
  </si>
  <si>
    <t>PO1054</t>
  </si>
  <si>
    <t>PO1055</t>
  </si>
  <si>
    <t>PO1056</t>
  </si>
  <si>
    <t>PO1057</t>
  </si>
  <si>
    <t>PO1058</t>
  </si>
  <si>
    <t>PO1059</t>
  </si>
  <si>
    <t>PO1060</t>
  </si>
  <si>
    <t>PO1061</t>
  </si>
  <si>
    <t>PO1062</t>
  </si>
  <si>
    <t>PO1063</t>
  </si>
  <si>
    <t>PO1064</t>
  </si>
  <si>
    <t>PO1065</t>
  </si>
  <si>
    <t>PO1066</t>
  </si>
  <si>
    <t>PO1067</t>
  </si>
  <si>
    <t>PO1068</t>
  </si>
  <si>
    <t>PO1069</t>
  </si>
  <si>
    <t>PO1070</t>
  </si>
  <si>
    <t>PO1071</t>
  </si>
  <si>
    <t>PO1072</t>
  </si>
  <si>
    <t>PO1073</t>
  </si>
  <si>
    <t>PO1074</t>
  </si>
  <si>
    <t>PO1075</t>
  </si>
  <si>
    <t>PO1076</t>
  </si>
  <si>
    <t>PO1077</t>
  </si>
  <si>
    <t>PO1078</t>
  </si>
  <si>
    <t>PO1079</t>
  </si>
  <si>
    <t>PO1080</t>
  </si>
  <si>
    <t>PO1081</t>
  </si>
  <si>
    <t>PO1082</t>
  </si>
  <si>
    <t>PO1083</t>
  </si>
  <si>
    <t>PO1084</t>
  </si>
  <si>
    <t>PO1085</t>
  </si>
  <si>
    <t>PO1086</t>
  </si>
  <si>
    <t>PO1087</t>
  </si>
  <si>
    <t>PO1088</t>
  </si>
  <si>
    <t>PO1089</t>
  </si>
  <si>
    <t>PO1090</t>
  </si>
  <si>
    <t>PO1091</t>
  </si>
  <si>
    <t>PO1092</t>
  </si>
  <si>
    <t>PO1093</t>
  </si>
  <si>
    <t>PO1094</t>
  </si>
  <si>
    <t>PO1095</t>
  </si>
  <si>
    <t>PO1096</t>
  </si>
  <si>
    <t>PO1097</t>
  </si>
  <si>
    <t>PO1098</t>
  </si>
  <si>
    <t>PO1099</t>
  </si>
  <si>
    <t>PO1100</t>
  </si>
  <si>
    <t>PO1101</t>
  </si>
  <si>
    <t>PO1102</t>
  </si>
  <si>
    <t>PO1103</t>
  </si>
  <si>
    <t>PO1104</t>
  </si>
  <si>
    <t>PO1105</t>
  </si>
  <si>
    <t>PO1106</t>
  </si>
  <si>
    <t>PO1107</t>
  </si>
  <si>
    <t>PO1108</t>
  </si>
  <si>
    <t>PO1109</t>
  </si>
  <si>
    <t>PO1110</t>
  </si>
  <si>
    <t>PO1111</t>
  </si>
  <si>
    <t>PO1112</t>
  </si>
  <si>
    <t>PO1113</t>
  </si>
  <si>
    <t>PO1114</t>
  </si>
  <si>
    <t>PO1115</t>
  </si>
  <si>
    <t>PO1116</t>
  </si>
  <si>
    <t>PO1117</t>
  </si>
  <si>
    <t>PO1118</t>
  </si>
  <si>
    <t>PO1119</t>
  </si>
  <si>
    <t>PO1120</t>
  </si>
  <si>
    <t>PO1121</t>
  </si>
  <si>
    <t>PO1122</t>
  </si>
  <si>
    <t>PO1123</t>
  </si>
  <si>
    <t>PO1124</t>
  </si>
  <si>
    <t>PO1125</t>
  </si>
  <si>
    <t>PO1126</t>
  </si>
  <si>
    <t>PO1127</t>
  </si>
  <si>
    <t>PO1128</t>
  </si>
  <si>
    <t>PO1129</t>
  </si>
  <si>
    <t>PO1130</t>
  </si>
  <si>
    <t>PO1131</t>
  </si>
  <si>
    <t>PO1132</t>
  </si>
  <si>
    <t>PO1133</t>
  </si>
  <si>
    <t>PO1134</t>
  </si>
  <si>
    <t>PO1135</t>
  </si>
  <si>
    <t>PO1136</t>
  </si>
  <si>
    <t>PO1137</t>
  </si>
  <si>
    <t>PO1138</t>
  </si>
  <si>
    <t>PO1139</t>
  </si>
  <si>
    <t>PO1140</t>
  </si>
  <si>
    <t>PO1141</t>
  </si>
  <si>
    <t>PO1142</t>
  </si>
  <si>
    <t>PO1143</t>
  </si>
  <si>
    <t>PO1144</t>
  </si>
  <si>
    <t>PO1145</t>
  </si>
  <si>
    <t>PO1146</t>
  </si>
  <si>
    <t>PO1147</t>
  </si>
  <si>
    <t>PO1148</t>
  </si>
  <si>
    <t>PO1149</t>
  </si>
  <si>
    <t>PO1150</t>
  </si>
  <si>
    <t>PO1151</t>
  </si>
  <si>
    <t>PO1152</t>
  </si>
  <si>
    <t>PO1153</t>
  </si>
  <si>
    <t>PO1154</t>
  </si>
  <si>
    <t>PO1155</t>
  </si>
  <si>
    <t xml:space="preserve">                          Supplier-wise Spend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</si>
  <si>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</si>
  <si>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</si>
  <si>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</si>
  <si>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</si>
  <si>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</si>
  <si>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</si>
  <si>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</si>
  <si>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</si>
  <si>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</si>
  <si>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</si>
  <si>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</si>
  <si>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</si>
  <si>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</si>
  <si>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Sum of PO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</si>
</sst>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1"/>
      <color theme="8" tint="0.59999389629810485"/>
      <name val="Calibri"/>
      <family val="2"/>
      <scheme val="minor"/>
    </font>
    <font>
      <sz val="11"/>
      <color theme="8" tint="0.7999816888943144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  <xf numFmtId="0" fontId="1" fillId="0" borderId="0" xfId="0" applyFont="1"/>
    <xf numFmtId="0" fontId="1" fillId="2" borderId="0" xfId="0" applyFont="1" applyFill="1"/>
    <xf numFmtId="0" fontId="0" fillId="2" borderId="0" xfId="0" applyFill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1" fillId="5" borderId="1" xfId="0" applyFont="1" applyFill="1" applyBorder="1"/>
    <xf numFmtId="0" fontId="0" fillId="5" borderId="1" xfId="0" applyFill="1" applyBorder="1"/>
    <xf numFmtId="0" fontId="4" fillId="6" borderId="0" xfId="0" applyFont="1" applyFill="1"/>
    <xf numFmtId="0" fontId="5" fillId="6" borderId="0" xfId="0" applyFont="1" applyFill="1"/>
    <xf numFmtId="0" fontId="1" fillId="6" borderId="0" xfId="0" applyFont="1" applyFill="1"/>
    <xf numFmtId="0" fontId="0" fillId="6" borderId="0" xfId="0" applyFill="1" applyAlignment="1">
      <alignment horizontal="center"/>
    </xf>
    <xf numFmtId="0" fontId="6" fillId="0" borderId="0" xfId="0" applyFont="1"/>
    <xf numFmtId="0" fontId="7" fillId="2" borderId="0" xfId="0" applyFont="1" applyFill="1"/>
    <xf numFmtId="0" fontId="2" fillId="7" borderId="0" xfId="0" applyFont="1" applyFill="1"/>
    <xf numFmtId="0" fontId="0" fillId="0" borderId="0" xfId="0" applyNumberFormat="1"/>
    <xf numFmtId="0" fontId="0" fillId="0" borderId="0" xfId="0" applyAlignment="1">
      <alignment horizontal="left"/>
    </xf>
    <xf numFmtId="0" fontId="0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0" fontId="1" fillId="9" borderId="0" xfId="0" applyFont="1" applyFill="1"/>
    <xf numFmtId="0" fontId="1" fillId="9" borderId="0" xfId="0" applyFont="1" applyFill="1" applyAlignment="1">
      <alignment horizontal="center"/>
    </xf>
    <xf numFmtId="0" fontId="1" fillId="10" borderId="0" xfId="0" applyFont="1" applyFill="1"/>
    <xf numFmtId="0" fontId="0" fillId="10" borderId="0" xfId="0" applyFill="1"/>
    <xf numFmtId="0" fontId="1" fillId="11" borderId="0" xfId="0" applyFont="1" applyFill="1"/>
    <xf numFmtId="0" fontId="0" fillId="6" borderId="0" xfId="0" applyFill="1"/>
    <xf numFmtId="0" fontId="0" fillId="0" borderId="0" xfId="0" pivotButton="1"/>
  </cellXfs>
  <cellStyles count="1">
    <cellStyle name="Normal" xfId="0" builtinId="0"/>
  </cellStyles>
  <dxfs count="9">
    <dxf>
      <alignment horizontal="left" vertical="bottom" textRotation="0" wrapText="0" indent="0" justifyLastLine="0" shrinkToFit="0" readingOrder="0"/>
    </dxf>
    <dxf>
      <numFmt numFmtId="0" formatCode="General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Total Spend by Category</a:t>
            </a:r>
            <a:endParaRPr lang="en-IN"/>
          </a:p>
        </c:rich>
      </c:tx>
      <c:layout>
        <c:manualLayout>
          <c:xMode val="edge"/>
          <c:yMode val="edge"/>
          <c:x val="0.30318044619422574"/>
          <c:y val="3.69783412572636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1602537182852143"/>
          <c:y val="0.19682002903361326"/>
          <c:w val="0.85219685039370074"/>
          <c:h val="0.6700309857101195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Dashboard!$A$10:$A$15</c:f>
              <c:strCache>
                <c:ptCount val="6"/>
                <c:pt idx="0">
                  <c:v>Office Supplies</c:v>
                </c:pt>
                <c:pt idx="1">
                  <c:v>Electronics</c:v>
                </c:pt>
                <c:pt idx="2">
                  <c:v>Stationery</c:v>
                </c:pt>
                <c:pt idx="3">
                  <c:v>Industrial Equipment</c:v>
                </c:pt>
                <c:pt idx="4">
                  <c:v>IT Equipment</c:v>
                </c:pt>
                <c:pt idx="5">
                  <c:v>Cleaning Supplies</c:v>
                </c:pt>
              </c:strCache>
            </c:strRef>
          </c:cat>
          <c:val>
            <c:numRef>
              <c:f>Dashboard!$B$10:$B$15</c:f>
              <c:numCache>
                <c:formatCode>General</c:formatCode>
                <c:ptCount val="6"/>
                <c:pt idx="0">
                  <c:v>433600</c:v>
                </c:pt>
                <c:pt idx="1">
                  <c:v>2449400</c:v>
                </c:pt>
                <c:pt idx="2">
                  <c:v>271310</c:v>
                </c:pt>
                <c:pt idx="3">
                  <c:v>2836250</c:v>
                </c:pt>
                <c:pt idx="4">
                  <c:v>5263700</c:v>
                </c:pt>
                <c:pt idx="5">
                  <c:v>332615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EF-4F23-ABB3-00748391F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0515024"/>
        <c:axId val="969573712"/>
      </c:barChart>
      <c:catAx>
        <c:axId val="120051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573712"/>
        <c:crosses val="autoZero"/>
        <c:auto val="1"/>
        <c:lblAlgn val="ctr"/>
        <c:lblOffset val="100"/>
        <c:noMultiLvlLbl val="0"/>
      </c:catAx>
      <c:valAx>
        <c:axId val="96957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51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PO Status Overview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692038495188109E-2"/>
          <c:y val="0.18097239047042199"/>
          <c:w val="0.90286351706036749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Dashboard!$B$18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Dashboard!$A$19:$A$22</c:f>
              <c:strCache>
                <c:ptCount val="4"/>
                <c:pt idx="0">
                  <c:v>Delivered</c:v>
                </c:pt>
                <c:pt idx="1">
                  <c:v>Pending</c:v>
                </c:pt>
                <c:pt idx="2">
                  <c:v>Partially Delivered</c:v>
                </c:pt>
                <c:pt idx="3">
                  <c:v>Late Deliveries</c:v>
                </c:pt>
              </c:strCache>
            </c:strRef>
          </c:cat>
          <c:val>
            <c:numRef>
              <c:f>Dashboard!$B$19:$B$22</c:f>
              <c:numCache>
                <c:formatCode>General</c:formatCode>
                <c:ptCount val="4"/>
                <c:pt idx="0">
                  <c:v>64</c:v>
                </c:pt>
                <c:pt idx="1">
                  <c:v>60</c:v>
                </c:pt>
                <c:pt idx="2">
                  <c:v>31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8F-45A3-A179-6060040F6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4914816"/>
        <c:axId val="969589072"/>
      </c:barChart>
      <c:catAx>
        <c:axId val="121491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589072"/>
        <c:crosses val="autoZero"/>
        <c:auto val="1"/>
        <c:lblAlgn val="ctr"/>
        <c:lblOffset val="100"/>
        <c:noMultiLvlLbl val="0"/>
      </c:catAx>
      <c:valAx>
        <c:axId val="96958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914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Supplier-wise Spend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Dashboard!$K$2:$K$16</c:f>
              <c:strCache>
                <c:ptCount val="15"/>
                <c:pt idx="0">
                  <c:v>ABC Enterprises</c:v>
                </c:pt>
                <c:pt idx="1">
                  <c:v>Reliance Supplies</c:v>
                </c:pt>
                <c:pt idx="2">
                  <c:v>Global Office Solutions</c:v>
                </c:pt>
                <c:pt idx="3">
                  <c:v>Prime Industrial</c:v>
                </c:pt>
                <c:pt idx="4">
                  <c:v>Eastern Traders</c:v>
                </c:pt>
                <c:pt idx="5">
                  <c:v>Techno Supply Co</c:v>
                </c:pt>
                <c:pt idx="6">
                  <c:v>Metro Wholesale</c:v>
                </c:pt>
                <c:pt idx="7">
                  <c:v>Sunrise Enterprises</c:v>
                </c:pt>
                <c:pt idx="8">
                  <c:v>Odisha Industrial Supply</c:v>
                </c:pt>
                <c:pt idx="9">
                  <c:v>National Distributors</c:v>
                </c:pt>
                <c:pt idx="10">
                  <c:v>Vertex Supplies</c:v>
                </c:pt>
                <c:pt idx="11">
                  <c:v>Cityline Traders</c:v>
                </c:pt>
                <c:pt idx="12">
                  <c:v>Pioneer Products</c:v>
                </c:pt>
                <c:pt idx="13">
                  <c:v>Smart Source India</c:v>
                </c:pt>
                <c:pt idx="14">
                  <c:v>United Suppliers</c:v>
                </c:pt>
              </c:strCache>
            </c:strRef>
          </c:cat>
          <c:val>
            <c:numRef>
              <c:f>Dashboard!$L$2:$L$16</c:f>
              <c:numCache>
                <c:formatCode>General</c:formatCode>
                <c:ptCount val="15"/>
                <c:pt idx="0">
                  <c:v>426850</c:v>
                </c:pt>
                <c:pt idx="1">
                  <c:v>1445600</c:v>
                </c:pt>
                <c:pt idx="2">
                  <c:v>125740</c:v>
                </c:pt>
                <c:pt idx="3">
                  <c:v>861850</c:v>
                </c:pt>
                <c:pt idx="4">
                  <c:v>1542700</c:v>
                </c:pt>
                <c:pt idx="5">
                  <c:v>251220</c:v>
                </c:pt>
                <c:pt idx="6">
                  <c:v>568050</c:v>
                </c:pt>
                <c:pt idx="7">
                  <c:v>1520100</c:v>
                </c:pt>
                <c:pt idx="8">
                  <c:v>203505</c:v>
                </c:pt>
                <c:pt idx="9">
                  <c:v>559825</c:v>
                </c:pt>
                <c:pt idx="10">
                  <c:v>1735000</c:v>
                </c:pt>
                <c:pt idx="11">
                  <c:v>122340</c:v>
                </c:pt>
                <c:pt idx="12">
                  <c:v>721525</c:v>
                </c:pt>
                <c:pt idx="13">
                  <c:v>1360200</c:v>
                </c:pt>
                <c:pt idx="14">
                  <c:v>132370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AF-4AC6-A396-CD03B61ED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6551280"/>
        <c:axId val="690643216"/>
      </c:barChart>
      <c:catAx>
        <c:axId val="64655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643216"/>
        <c:crosses val="autoZero"/>
        <c:auto val="1"/>
        <c:lblAlgn val="ctr"/>
        <c:lblOffset val="100"/>
        <c:noMultiLvlLbl val="0"/>
      </c:catAx>
      <c:valAx>
        <c:axId val="69064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551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[Procurement_Spend_Supplier_Management_Tracker.xlsx]Month-wise Analysis!PivotTable1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Month-wise Spend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'Month-wise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'Month-wise Analysis'!$A$4:$A$15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'Month-wise Analysis'!$B$4:$B$15</c:f>
              <c:numCache>
                <c:formatCode>General</c:formatCode>
                <c:ptCount val="11"/>
                <c:pt idx="0">
                  <c:v>674000</c:v>
                </c:pt>
                <c:pt idx="1">
                  <c:v>440850</c:v>
                </c:pt>
                <c:pt idx="2">
                  <c:v>1107990</c:v>
                </c:pt>
                <c:pt idx="3">
                  <c:v>985795</c:v>
                </c:pt>
                <c:pt idx="4">
                  <c:v>1222075</c:v>
                </c:pt>
                <c:pt idx="5">
                  <c:v>1098210</c:v>
                </c:pt>
                <c:pt idx="6">
                  <c:v>1350375</c:v>
                </c:pt>
                <c:pt idx="7">
                  <c:v>1197845</c:v>
                </c:pt>
                <c:pt idx="8">
                  <c:v>1186285</c:v>
                </c:pt>
                <c:pt idx="9">
                  <c:v>1564780</c:v>
                </c:pt>
                <c:pt idx="10">
                  <c:v>758670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AD-463B-B774-27B75F9A1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7555664"/>
        <c:axId val="690587536"/>
      </c:barChart>
      <c:catAx>
        <c:axId val="72755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587536"/>
        <c:crosses val="autoZero"/>
        <c:auto val="1"/>
        <c:lblAlgn val="ctr"/>
        <c:lblOffset val="100"/>
        <c:noMultiLvlLbl val="0"/>
      </c:catAx>
      <c:valAx>
        <c:axId val="69058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55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</xdr:row>
      <xdr:rowOff>7620</xdr:rowOff>
    </xdr:from>
    <xdr:to>
      <xdr:col>9</xdr:col>
      <xdr:colOff>381000</xdr:colOff>
      <xdr:row>26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9C4300-1B76-D550-449B-7B531B92E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0</xdr:row>
      <xdr:rowOff>0</xdr:rowOff>
    </xdr:from>
    <xdr:to>
      <xdr:col>9</xdr:col>
      <xdr:colOff>381000</xdr:colOff>
      <xdr:row>11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03A6796-AD0E-21D0-747A-A684651BA4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137160</xdr:colOff>
      <xdr:row>0</xdr:row>
      <xdr:rowOff>0</xdr:rowOff>
    </xdr:from>
    <xdr:to>
      <xdr:col>18</xdr:col>
      <xdr:colOff>502920</xdr:colOff>
      <xdr:row>13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A27FDD3-0F09-AE93-49A9-7D99D4F713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144780</xdr:colOff>
      <xdr:row>14</xdr:row>
      <xdr:rowOff>0</xdr:rowOff>
    </xdr:from>
    <xdr:to>
      <xdr:col>18</xdr:col>
      <xdr:colOff>495300</xdr:colOff>
      <xdr:row>26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EBF842F-CD07-4D83-9627-AFC546736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pun mohanty" refreshedDate="46298.811738657409" createdVersion="8" refreshedVersion="8" minRefreshableVersion="3" recordCount="155" xr:uid="{E26553E5-F516-404C-8ECC-F62F729F3220}">
  <cacheSource type="worksheet">
    <worksheetSource name="Table2"/>
  </cacheSource>
  <cacheFields count="15">
    <cacheField name="PO Number" numFmtId="0">
      <sharedItems/>
    </cacheField>
    <cacheField name="PO Date" numFmtId="14">
      <sharedItems containsSemiMixedTypes="0" containsNonDate="0" containsDate="1" containsString="0" minDate="2026-01-01T00:00:00" maxDate="2026-11-21T00:00:00" count="155">
        <d v="2026-01-01T00:00:00"/>
        <d v="2026-01-03T00:00:00"/>
        <d v="2026-01-05T00:00:00"/>
        <d v="2026-01-08T00:00:00"/>
        <d v="2026-01-10T00:00:00"/>
        <d v="2026-01-12T00:00:00"/>
        <d v="2026-01-15T00:00:00"/>
        <d v="2026-01-18T00:00:00"/>
        <d v="2026-01-20T00:00:00"/>
        <d v="2026-01-22T00:00:00"/>
        <d v="2026-01-25T00:00:00"/>
        <d v="2026-01-28T00:00:00"/>
        <d v="2026-02-01T00:00:00"/>
        <d v="2026-02-04T00:00:00"/>
        <d v="2026-02-07T00:00:00"/>
        <d v="2026-02-10T00:00:00"/>
        <d v="2026-02-13T00:00:00"/>
        <d v="2026-02-16T00:00:00"/>
        <d v="2026-02-19T00:00:00"/>
        <d v="2026-02-22T00:00:00"/>
        <d v="2026-02-25T00:00:00"/>
        <d v="2026-02-27T00:00:00"/>
        <d v="2026-03-01T00:00:00"/>
        <d v="2026-03-03T00:00:00"/>
        <d v="2026-03-05T00:00:00"/>
        <d v="2026-03-07T00:00:00"/>
        <d v="2026-03-09T00:00:00"/>
        <d v="2026-03-11T00:00:00"/>
        <d v="2026-03-13T00:00:00"/>
        <d v="2026-03-15T00:00:00"/>
        <d v="2026-03-17T00:00:00"/>
        <d v="2026-03-19T00:00:00"/>
        <d v="2026-03-21T00:00:00"/>
        <d v="2026-03-23T00:00:00"/>
        <d v="2026-03-25T00:00:00"/>
        <d v="2026-03-27T00:00:00"/>
        <d v="2026-03-29T00:00:00"/>
        <d v="2026-03-31T00:00:00"/>
        <d v="2026-04-02T00:00:00"/>
        <d v="2026-04-04T00:00:00"/>
        <d v="2026-04-06T00:00:00"/>
        <d v="2026-04-08T00:00:00"/>
        <d v="2026-04-10T00:00:00"/>
        <d v="2026-04-12T00:00:00"/>
        <d v="2026-04-14T00:00:00"/>
        <d v="2026-04-16T00:00:00"/>
        <d v="2026-04-18T00:00:00"/>
        <d v="2026-04-20T00:00:00"/>
        <d v="2026-04-22T00:00:00"/>
        <d v="2026-04-24T00:00:00"/>
        <d v="2026-04-26T00:00:00"/>
        <d v="2026-04-28T00:00:00"/>
        <d v="2026-04-30T00:00:00"/>
        <d v="2026-05-02T00:00:00"/>
        <d v="2026-05-04T00:00:00"/>
        <d v="2026-05-06T00:00:00"/>
        <d v="2026-05-08T00:00:00"/>
        <d v="2026-05-10T00:00:00"/>
        <d v="2026-05-12T00:00:00"/>
        <d v="2026-05-14T00:00:00"/>
        <d v="2026-05-16T00:00:00"/>
        <d v="2026-05-18T00:00:00"/>
        <d v="2026-05-20T00:00:00"/>
        <d v="2026-05-22T00:00:00"/>
        <d v="2026-05-24T00:00:00"/>
        <d v="2026-05-26T00:00:00"/>
        <d v="2026-05-28T00:00:00"/>
        <d v="2026-05-30T00:00:00"/>
        <d v="2026-06-01T00:00:00"/>
        <d v="2026-06-03T00:00:00"/>
        <d v="2026-06-05T00:00:00"/>
        <d v="2026-06-07T00:00:00"/>
        <d v="2026-06-09T00:00:00"/>
        <d v="2026-06-11T00:00:00"/>
        <d v="2026-06-13T00:00:00"/>
        <d v="2026-06-15T00:00:00"/>
        <d v="2026-06-17T00:00:00"/>
        <d v="2026-06-19T00:00:00"/>
        <d v="2026-06-21T00:00:00"/>
        <d v="2026-06-23T00:00:00"/>
        <d v="2026-06-25T00:00:00"/>
        <d v="2026-06-27T00:00:00"/>
        <d v="2026-06-29T00:00:00"/>
        <d v="2026-07-01T00:00:00"/>
        <d v="2026-07-03T00:00:00"/>
        <d v="2026-07-05T00:00:00"/>
        <d v="2026-07-07T00:00:00"/>
        <d v="2026-07-09T00:00:00"/>
        <d v="2026-07-11T00:00:00"/>
        <d v="2026-07-13T00:00:00"/>
        <d v="2026-07-15T00:00:00"/>
        <d v="2026-07-17T00:00:00"/>
        <d v="2026-07-19T00:00:00"/>
        <d v="2026-07-21T00:00:00"/>
        <d v="2026-07-23T00:00:00"/>
        <d v="2026-07-25T00:00:00"/>
        <d v="2026-07-27T00:00:00"/>
        <d v="2026-07-29T00:00:00"/>
        <d v="2026-07-31T00:00:00"/>
        <d v="2026-08-02T00:00:00"/>
        <d v="2026-08-04T00:00:00"/>
        <d v="2026-08-06T00:00:00"/>
        <d v="2026-08-08T00:00:00"/>
        <d v="2026-08-10T00:00:00"/>
        <d v="2026-08-12T00:00:00"/>
        <d v="2026-08-14T00:00:00"/>
        <d v="2026-08-16T00:00:00"/>
        <d v="2026-08-18T00:00:00"/>
        <d v="2026-08-20T00:00:00"/>
        <d v="2026-08-22T00:00:00"/>
        <d v="2026-08-24T00:00:00"/>
        <d v="2026-08-26T00:00:00"/>
        <d v="2026-08-28T00:00:00"/>
        <d v="2026-08-30T00:00:00"/>
        <d v="2026-09-01T00:00:00"/>
        <d v="2026-09-03T00:00:00"/>
        <d v="2026-09-05T00:00:00"/>
        <d v="2026-09-07T00:00:00"/>
        <d v="2026-09-09T00:00:00"/>
        <d v="2026-09-11T00:00:00"/>
        <d v="2026-09-13T00:00:00"/>
        <d v="2026-09-15T00:00:00"/>
        <d v="2026-09-17T00:00:00"/>
        <d v="2026-09-19T00:00:00"/>
        <d v="2026-09-21T00:00:00"/>
        <d v="2026-09-23T00:00:00"/>
        <d v="2026-09-25T00:00:00"/>
        <d v="2026-09-27T00:00:00"/>
        <d v="2026-09-29T00:00:00"/>
        <d v="2026-10-01T00:00:00"/>
        <d v="2026-10-03T00:00:00"/>
        <d v="2026-10-05T00:00:00"/>
        <d v="2026-10-07T00:00:00"/>
        <d v="2026-10-09T00:00:00"/>
        <d v="2026-10-11T00:00:00"/>
        <d v="2026-10-13T00:00:00"/>
        <d v="2026-10-15T00:00:00"/>
        <d v="2026-10-17T00:00:00"/>
        <d v="2026-10-19T00:00:00"/>
        <d v="2026-10-21T00:00:00"/>
        <d v="2026-10-23T00:00:00"/>
        <d v="2026-10-25T00:00:00"/>
        <d v="2026-10-27T00:00:00"/>
        <d v="2026-10-29T00:00:00"/>
        <d v="2026-10-31T00:00:00"/>
        <d v="2026-11-02T00:00:00"/>
        <d v="2026-11-04T00:00:00"/>
        <d v="2026-11-06T00:00:00"/>
        <d v="2026-11-08T00:00:00"/>
        <d v="2026-11-10T00:00:00"/>
        <d v="2026-11-12T00:00:00"/>
        <d v="2026-11-14T00:00:00"/>
        <d v="2026-11-16T00:00:00"/>
        <d v="2026-11-18T00:00:00"/>
        <d v="2026-11-20T00:00:00"/>
      </sharedItems>
      <fieldGroup par="14"/>
    </cacheField>
    <cacheField name="Supplier ID" numFmtId="0">
      <sharedItems/>
    </cacheField>
    <cacheField name="Supplier Name" numFmtId="0">
      <sharedItems/>
    </cacheField>
    <cacheField name="City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2" maxValue="100"/>
    </cacheField>
    <cacheField name="Unit Price" numFmtId="0">
      <sharedItems containsSemiMixedTypes="0" containsString="0" containsNumber="1" containsInteger="1" minValue="90" maxValue="32500"/>
    </cacheField>
    <cacheField name="PO Value" numFmtId="0">
      <sharedItems containsSemiMixedTypes="0" containsString="0" containsNumber="1" containsInteger="1" minValue="6000" maxValue="302400"/>
    </cacheField>
    <cacheField name="Expected Delivery" numFmtId="14">
      <sharedItems containsSemiMixedTypes="0" containsNonDate="0" containsDate="1" containsString="0" minDate="2026-01-10T00:00:00" maxDate="2026-12-07T00:00:00"/>
    </cacheField>
    <cacheField name="Actual Delivery" numFmtId="14">
      <sharedItems containsSemiMixedTypes="0" containsNonDate="0" containsDate="1" containsString="0" minDate="2026-01-09T00:00:00" maxDate="2026-12-11T00:00:00"/>
    </cacheField>
    <cacheField name="Status" numFmtId="0">
      <sharedItems/>
    </cacheField>
    <cacheField name="Delivery Check" numFmtId="0">
      <sharedItems/>
    </cacheField>
    <cacheField name="Days (PO Date)" numFmtId="0" databaseField="0">
      <fieldGroup base="1">
        <rangePr groupBy="days" startDate="2026-01-01T00:00:00" endDate="2026-11-21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1-11-2026"/>
        </groupItems>
      </fieldGroup>
    </cacheField>
    <cacheField name="Months (PO Date)" numFmtId="0" databaseField="0">
      <fieldGroup base="1">
        <rangePr groupBy="months" startDate="2026-01-01T00:00:00" endDate="2026-11-21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1-1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s v="PO1001"/>
    <x v="0"/>
    <s v="S001"/>
    <s v="                  ABC Enterprises"/>
    <s v="                       Bhubaneswar"/>
    <s v="Office Supplies"/>
    <n v="20"/>
    <n v="500"/>
    <n v="10000"/>
    <d v="2026-01-10T00:00:00"/>
    <d v="2026-01-09T00:00:00"/>
    <s v="Delivered"/>
    <s v="On Time"/>
  </r>
  <r>
    <s v="PO1002"/>
    <x v="1"/>
    <s v="S002"/>
    <s v="Reliance Supplies"/>
    <s v="Cuttack"/>
    <s v="Electronics"/>
    <n v="5"/>
    <n v="12000"/>
    <n v="60000"/>
    <d v="2026-01-15T00:00:00"/>
    <d v="2026-01-16T00:00:00"/>
    <s v="Pending"/>
    <s v="Late"/>
  </r>
  <r>
    <s v="PO1003"/>
    <x v="2"/>
    <s v="S003"/>
    <s v="Global Office Solutions"/>
    <s v="Kolkata"/>
    <s v="Stationery"/>
    <n v="50"/>
    <n v="150"/>
    <n v="7500"/>
    <d v="2026-01-18T00:00:00"/>
    <d v="2026-01-17T00:00:00"/>
    <s v="Delivered"/>
    <s v="On Time"/>
  </r>
  <r>
    <s v="PO1004"/>
    <x v="3"/>
    <s v="S004"/>
    <s v="Prime Industrial"/>
    <s v="Mumbai"/>
    <s v="Industrial Equipment"/>
    <n v="3"/>
    <n v="25000"/>
    <n v="75000"/>
    <d v="2026-01-20T00:00:00"/>
    <d v="2026-01-22T00:00:00"/>
    <s v="Partially Delivered"/>
    <s v="Late"/>
  </r>
  <r>
    <s v="PO1005"/>
    <x v="4"/>
    <s v="S005"/>
    <s v="Eastern Traders"/>
    <s v="Bhubaneswar"/>
    <s v="Office Supplies"/>
    <n v="30"/>
    <n v="750"/>
    <n v="22500"/>
    <d v="2026-01-22T00:00:00"/>
    <d v="2026-01-21T00:00:00"/>
    <s v="Delivered"/>
    <s v="On Time"/>
  </r>
  <r>
    <s v="PO1006"/>
    <x v="5"/>
    <s v="S006"/>
    <s v="Techno Supply Co"/>
    <s v="Pune"/>
    <s v="IT Equipment"/>
    <n v="8"/>
    <n v="18000"/>
    <n v="144000"/>
    <d v="2026-01-25T00:00:00"/>
    <d v="2026-01-27T00:00:00"/>
    <s v="Pending"/>
    <s v="Late"/>
  </r>
  <r>
    <s v="PO1007"/>
    <x v="6"/>
    <s v="S007"/>
    <s v="Metro Wholesale"/>
    <s v="Delhi"/>
    <s v="Stationery"/>
    <n v="100"/>
    <n v="90"/>
    <n v="9000"/>
    <d v="2026-01-28T00:00:00"/>
    <d v="2026-01-27T00:00:00"/>
    <s v="Delivered"/>
    <s v="On Time"/>
  </r>
  <r>
    <s v="PO1008"/>
    <x v="7"/>
    <s v="S008"/>
    <s v="Sunrise Enterprises"/>
    <s v="Hyderabad"/>
    <s v="Cleaning Supplies"/>
    <n v="40"/>
    <n v="300"/>
    <n v="12000"/>
    <d v="2026-01-30T00:00:00"/>
    <d v="2026-02-02T00:00:00"/>
    <s v="Partially Delivered"/>
    <s v="Late"/>
  </r>
  <r>
    <s v="PO1009"/>
    <x v="8"/>
    <s v="S009"/>
    <s v="Odisha Industrial Supply"/>
    <s v="Bhubaneswar"/>
    <s v="Industrial Equipment"/>
    <n v="6"/>
    <n v="15000"/>
    <n v="90000"/>
    <d v="2026-02-02T00:00:00"/>
    <d v="2026-02-01T00:00:00"/>
    <s v="Delivered"/>
    <s v="On Time"/>
  </r>
  <r>
    <s v="PO1010"/>
    <x v="9"/>
    <s v="S010"/>
    <s v="National Distributors"/>
    <s v="Chennai"/>
    <s v="Office Supplies"/>
    <n v="25"/>
    <n v="600"/>
    <n v="15000"/>
    <d v="2026-02-05T00:00:00"/>
    <d v="2026-02-07T00:00:00"/>
    <s v="Pending"/>
    <s v="Late"/>
  </r>
  <r>
    <s v="PO1011"/>
    <x v="10"/>
    <s v="S011"/>
    <s v="Vertex Supplies"/>
    <s v="Bangalore"/>
    <s v="IT Equipment"/>
    <n v="10"/>
    <n v="22000"/>
    <n v="220000"/>
    <d v="2026-02-08T00:00:00"/>
    <d v="2026-02-07T00:00:00"/>
    <s v="Delivered"/>
    <s v="On Time"/>
  </r>
  <r>
    <s v="PO1012"/>
    <x v="11"/>
    <s v="S012"/>
    <s v="Cityline Traders"/>
    <s v="Cuttack"/>
    <s v="Stationery"/>
    <n v="75"/>
    <n v="120"/>
    <n v="9000"/>
    <d v="2026-02-10T00:00:00"/>
    <d v="2026-02-12T00:00:00"/>
    <s v="Pending"/>
    <s v="Late"/>
  </r>
  <r>
    <s v="PO1013"/>
    <x v="12"/>
    <s v="S013"/>
    <s v="Pioneer Products"/>
    <s v="Kolkata"/>
    <s v="Cleaning Supplies"/>
    <n v="35"/>
    <n v="400"/>
    <n v="14000"/>
    <d v="2026-02-15T00:00:00"/>
    <d v="2026-02-14T00:00:00"/>
    <s v="Delivered"/>
    <s v="On Time"/>
  </r>
  <r>
    <s v="PO1014"/>
    <x v="13"/>
    <s v="S014"/>
    <s v="Smart Source India"/>
    <s v="Delhi"/>
    <s v="Electronics"/>
    <n v="4"/>
    <n v="15000"/>
    <n v="60000"/>
    <d v="2026-02-18T00:00:00"/>
    <d v="2026-02-20T00:00:00"/>
    <s v="Partially Delivered"/>
    <s v="Late"/>
  </r>
  <r>
    <s v="PO1015"/>
    <x v="14"/>
    <s v="S015"/>
    <s v="United Suppliers"/>
    <s v="Mumbai"/>
    <s v="Office Supplies"/>
    <n v="45"/>
    <n v="550"/>
    <n v="24750"/>
    <d v="2026-02-20T00:00:00"/>
    <d v="2026-02-19T00:00:00"/>
    <s v="Delivered"/>
    <s v="On Time"/>
  </r>
  <r>
    <s v="PO1016"/>
    <x v="15"/>
    <s v="S001"/>
    <s v="ABC Enterprises"/>
    <s v="Bhubaneswar"/>
    <s v="Stationery"/>
    <n v="60"/>
    <n v="100"/>
    <n v="6000"/>
    <d v="2026-02-25T00:00:00"/>
    <d v="2026-02-27T00:00:00"/>
    <s v="Pending"/>
    <s v="Late"/>
  </r>
  <r>
    <s v="PO1017"/>
    <x v="16"/>
    <s v="S002"/>
    <s v="Reliance Supplies"/>
    <s v="Cuttack"/>
    <s v="Electronics"/>
    <n v="7"/>
    <n v="11000"/>
    <n v="77000"/>
    <d v="2026-02-28T00:00:00"/>
    <d v="2026-02-27T00:00:00"/>
    <s v="Delivered"/>
    <s v="On Time"/>
  </r>
  <r>
    <s v="PO1018"/>
    <x v="17"/>
    <s v="S003"/>
    <s v="Global Office Solutions"/>
    <s v="Kolkata"/>
    <s v="Office Supplies"/>
    <n v="15"/>
    <n v="900"/>
    <n v="13500"/>
    <d v="2026-03-03T00:00:00"/>
    <d v="2026-03-05T00:00:00"/>
    <s v="Partially Delivered"/>
    <s v="Late"/>
  </r>
  <r>
    <s v="PO1019"/>
    <x v="18"/>
    <s v="S004"/>
    <s v="Prime Industrial"/>
    <s v="Mumbai"/>
    <s v="Industrial Equipment"/>
    <n v="2"/>
    <n v="30000"/>
    <n v="60000"/>
    <d v="2026-03-05T00:00:00"/>
    <d v="2026-03-04T00:00:00"/>
    <s v="Delivered"/>
    <s v="On Time"/>
  </r>
  <r>
    <s v="PO1020"/>
    <x v="19"/>
    <s v="S005"/>
    <s v="Eastern Traders"/>
    <s v="Bhubaneswar"/>
    <s v="IT Equipment"/>
    <n v="5"/>
    <n v="20000"/>
    <n v="100000"/>
    <d v="2026-03-08T00:00:00"/>
    <d v="2026-03-10T00:00:00"/>
    <s v="Pending"/>
    <s v="Late"/>
  </r>
  <r>
    <s v="PO1021"/>
    <x v="20"/>
    <s v="S001"/>
    <s v="ABC Enterprises"/>
    <s v="Bhubaneswar"/>
    <s v="Office Supplies"/>
    <n v="20"/>
    <n v="500"/>
    <n v="10000"/>
    <d v="2026-03-05T00:00:00"/>
    <d v="2026-03-04T00:00:00"/>
    <s v="Delivered"/>
    <s v="On Time"/>
  </r>
  <r>
    <s v="PO1022"/>
    <x v="21"/>
    <s v="S002"/>
    <s v="Reliance Supplies"/>
    <s v="Cuttack"/>
    <s v="Electronics"/>
    <n v="6"/>
    <n v="12600"/>
    <n v="75600"/>
    <d v="2026-03-08T00:00:00"/>
    <d v="2026-03-11T00:00:00"/>
    <s v="Pending"/>
    <s v="Late"/>
  </r>
  <r>
    <s v="PO1023"/>
    <x v="22"/>
    <s v="S003"/>
    <s v="Global Office Solutions"/>
    <s v="Kolkata"/>
    <s v="Stationery"/>
    <n v="52"/>
    <n v="170"/>
    <n v="8840"/>
    <d v="2026-03-11T00:00:00"/>
    <d v="2026-03-15T00:00:00"/>
    <s v="Partially Delivered"/>
    <s v="Late"/>
  </r>
  <r>
    <s v="PO1024"/>
    <x v="23"/>
    <s v="S004"/>
    <s v="Prime Industrial"/>
    <s v="Mumbai"/>
    <s v="Industrial Equipment"/>
    <n v="5"/>
    <n v="28750"/>
    <n v="143750"/>
    <d v="2026-03-14T00:00:00"/>
    <d v="2026-03-13T00:00:00"/>
    <s v="Delivered"/>
    <s v="On Time"/>
  </r>
  <r>
    <s v="PO1025"/>
    <x v="24"/>
    <s v="S005"/>
    <s v="Eastern Traders"/>
    <s v="Bhubaneswar"/>
    <s v="IT Equipment"/>
    <n v="9"/>
    <n v="21600"/>
    <n v="194400"/>
    <d v="2026-03-17T00:00:00"/>
    <d v="2026-03-20T00:00:00"/>
    <s v="Pending"/>
    <s v="Late"/>
  </r>
  <r>
    <s v="PO1026"/>
    <x v="25"/>
    <s v="S006"/>
    <s v="Techno Supply Co"/>
    <s v="Pune"/>
    <s v="Cleaning Supplies"/>
    <n v="35"/>
    <n v="375"/>
    <n v="13125"/>
    <d v="2026-03-19T00:00:00"/>
    <d v="2026-03-23T00:00:00"/>
    <s v="Delivered"/>
    <s v="Late"/>
  </r>
  <r>
    <s v="PO1027"/>
    <x v="26"/>
    <s v="S007"/>
    <s v="Metro Wholesale"/>
    <s v="Delhi"/>
    <s v="Office Supplies"/>
    <n v="26"/>
    <n v="525"/>
    <n v="13650"/>
    <d v="2026-03-17T00:00:00"/>
    <d v="2026-03-16T00:00:00"/>
    <s v="Partially Delivered"/>
    <s v="On Time"/>
  </r>
  <r>
    <s v="PO1028"/>
    <x v="27"/>
    <s v="S008"/>
    <s v="Sunrise Enterprises"/>
    <s v="Hyderabad"/>
    <s v="Electronics"/>
    <n v="6"/>
    <n v="13200"/>
    <n v="79200"/>
    <d v="2026-03-20T00:00:00"/>
    <d v="2026-03-23T00:00:00"/>
    <s v="Pending"/>
    <s v="Late"/>
  </r>
  <r>
    <s v="PO1029"/>
    <x v="28"/>
    <s v="S009"/>
    <s v="Odisha Industrial Supply"/>
    <s v="Bhubaneswar"/>
    <s v="Stationery"/>
    <n v="58"/>
    <n v="180"/>
    <n v="10440"/>
    <d v="2026-03-23T00:00:00"/>
    <d v="2026-03-27T00:00:00"/>
    <s v="Delivered"/>
    <s v="Late"/>
  </r>
  <r>
    <s v="PO1030"/>
    <x v="29"/>
    <s v="S010"/>
    <s v="National Distributors"/>
    <s v="Chennai"/>
    <s v="Industrial Equipment"/>
    <n v="2"/>
    <n v="30000"/>
    <n v="60000"/>
    <d v="2026-03-23T00:00:00"/>
    <d v="2026-03-22T00:00:00"/>
    <s v="Pending"/>
    <s v="On Time"/>
  </r>
  <r>
    <s v="PO1031"/>
    <x v="30"/>
    <s v="S011"/>
    <s v="Vertex Supplies"/>
    <s v="Bangalore"/>
    <s v="IT Equipment"/>
    <n v="7"/>
    <n v="23400"/>
    <n v="163800"/>
    <d v="2026-03-27T00:00:00"/>
    <d v="2026-03-30T00:00:00"/>
    <s v="Delivered"/>
    <s v="Late"/>
  </r>
  <r>
    <s v="PO1032"/>
    <x v="31"/>
    <s v="S012"/>
    <s v="Cityline Traders"/>
    <s v="Cuttack"/>
    <s v="Cleaning Supplies"/>
    <n v="45"/>
    <n v="315"/>
    <n v="14175"/>
    <d v="2026-03-30T00:00:00"/>
    <d v="2026-04-03T00:00:00"/>
    <s v="Partially Delivered"/>
    <s v="Late"/>
  </r>
  <r>
    <s v="PO1033"/>
    <x v="32"/>
    <s v="S013"/>
    <s v="Pioneer Products"/>
    <s v="Kolkata"/>
    <s v="Office Supplies"/>
    <n v="21"/>
    <n v="650"/>
    <n v="13650"/>
    <d v="2026-03-30T00:00:00"/>
    <d v="2026-03-29T00:00:00"/>
    <s v="Pending"/>
    <s v="On Time"/>
  </r>
  <r>
    <s v="PO1034"/>
    <x v="33"/>
    <s v="S014"/>
    <s v="Smart Source India"/>
    <s v="Delhi"/>
    <s v="Electronics"/>
    <n v="7"/>
    <n v="14400"/>
    <n v="100800"/>
    <d v="2026-04-02T00:00:00"/>
    <d v="2026-04-05T00:00:00"/>
    <s v="Delivered"/>
    <s v="Late"/>
  </r>
  <r>
    <s v="PO1035"/>
    <x v="34"/>
    <s v="S015"/>
    <s v="United Suppliers"/>
    <s v="Mumbai"/>
    <s v="Stationery"/>
    <n v="62"/>
    <n v="190"/>
    <n v="11780"/>
    <d v="2026-04-05T00:00:00"/>
    <d v="2026-04-09T00:00:00"/>
    <s v="Pending"/>
    <s v="Late"/>
  </r>
  <r>
    <s v="PO1036"/>
    <x v="35"/>
    <s v="S001"/>
    <s v="ABC Enterprises"/>
    <s v="Bhubaneswar"/>
    <s v="Industrial Equipment"/>
    <n v="3"/>
    <n v="31250"/>
    <n v="93750"/>
    <d v="2026-04-06T00:00:00"/>
    <d v="2026-04-05T00:00:00"/>
    <s v="Delivered"/>
    <s v="On Time"/>
  </r>
  <r>
    <s v="PO1037"/>
    <x v="36"/>
    <s v="S002"/>
    <s v="Reliance Supplies"/>
    <s v="Cuttack"/>
    <s v="IT Equipment"/>
    <n v="7"/>
    <n v="25200"/>
    <n v="176400"/>
    <d v="2026-04-08T00:00:00"/>
    <d v="2026-04-11T00:00:00"/>
    <s v="Partially Delivered"/>
    <s v="Late"/>
  </r>
  <r>
    <s v="PO1038"/>
    <x v="37"/>
    <s v="S003"/>
    <s v="Global Office Solutions"/>
    <s v="Kolkata"/>
    <s v="Cleaning Supplies"/>
    <n v="31"/>
    <n v="330"/>
    <n v="10230"/>
    <d v="2026-04-11T00:00:00"/>
    <d v="2026-04-15T00:00:00"/>
    <s v="Pending"/>
    <s v="Late"/>
  </r>
  <r>
    <s v="PO1039"/>
    <x v="38"/>
    <s v="S004"/>
    <s v="Prime Industrial"/>
    <s v="Mumbai"/>
    <s v="Office Supplies"/>
    <n v="24"/>
    <n v="575"/>
    <n v="13800"/>
    <d v="2026-04-12T00:00:00"/>
    <d v="2026-04-11T00:00:00"/>
    <s v="Delivered"/>
    <s v="On Time"/>
  </r>
  <r>
    <s v="PO1040"/>
    <x v="39"/>
    <s v="S005"/>
    <s v="Eastern Traders"/>
    <s v="Bhubaneswar"/>
    <s v="Electronics"/>
    <n v="8"/>
    <n v="12000"/>
    <n v="96000"/>
    <d v="2026-04-14T00:00:00"/>
    <d v="2026-04-17T00:00:00"/>
    <s v="Pending"/>
    <s v="Late"/>
  </r>
  <r>
    <s v="PO1041"/>
    <x v="40"/>
    <s v="S006"/>
    <s v="Techno Supply Co"/>
    <s v="Pune"/>
    <s v="Stationery"/>
    <n v="55"/>
    <n v="160"/>
    <n v="8800"/>
    <d v="2026-04-14T00:00:00"/>
    <d v="2026-04-18T00:00:00"/>
    <s v="Delivered"/>
    <s v="Late"/>
  </r>
  <r>
    <s v="PO1042"/>
    <x v="41"/>
    <s v="S007"/>
    <s v="Metro Wholesale"/>
    <s v="Delhi"/>
    <s v="Industrial Equipment"/>
    <n v="4"/>
    <n v="26250"/>
    <n v="105000"/>
    <d v="2026-04-17T00:00:00"/>
    <d v="2026-04-16T00:00:00"/>
    <s v="Partially Delivered"/>
    <s v="On Time"/>
  </r>
  <r>
    <s v="PO1043"/>
    <x v="42"/>
    <s v="S008"/>
    <s v="Sunrise Enterprises"/>
    <s v="Hyderabad"/>
    <s v="IT Equipment"/>
    <n v="10"/>
    <n v="19800"/>
    <n v="198000"/>
    <d v="2026-04-21T00:00:00"/>
    <d v="2026-04-24T00:00:00"/>
    <s v="Pending"/>
    <s v="Late"/>
  </r>
  <r>
    <s v="PO1044"/>
    <x v="43"/>
    <s v="S009"/>
    <s v="Odisha Industrial Supply"/>
    <s v="Bhubaneswar"/>
    <s v="Cleaning Supplies"/>
    <n v="34"/>
    <n v="345"/>
    <n v="11730"/>
    <d v="2026-04-21T00:00:00"/>
    <d v="2026-04-25T00:00:00"/>
    <s v="Delivered"/>
    <s v="Late"/>
  </r>
  <r>
    <s v="PO1045"/>
    <x v="44"/>
    <s v="S010"/>
    <s v="National Distributors"/>
    <s v="Chennai"/>
    <s v="Office Supplies"/>
    <n v="28"/>
    <n v="600"/>
    <n v="16800"/>
    <d v="2026-04-24T00:00:00"/>
    <d v="2026-04-23T00:00:00"/>
    <s v="Pending"/>
    <s v="On Time"/>
  </r>
  <r>
    <s v="PO1046"/>
    <x v="45"/>
    <s v="S011"/>
    <s v="Vertex Supplies"/>
    <s v="Bangalore"/>
    <s v="Electronics"/>
    <n v="10"/>
    <n v="12600"/>
    <n v="126000"/>
    <d v="2026-04-27T00:00:00"/>
    <d v="2026-04-30T00:00:00"/>
    <s v="Delivered"/>
    <s v="Late"/>
  </r>
  <r>
    <s v="PO1047"/>
    <x v="46"/>
    <s v="S012"/>
    <s v="Cityline Traders"/>
    <s v="Cuttack"/>
    <s v="Stationery"/>
    <n v="60"/>
    <n v="170"/>
    <n v="10200"/>
    <d v="2026-04-27T00:00:00"/>
    <d v="2026-05-01T00:00:00"/>
    <s v="Partially Delivered"/>
    <s v="Late"/>
  </r>
  <r>
    <s v="PO1048"/>
    <x v="47"/>
    <s v="S013"/>
    <s v="Pioneer Products"/>
    <s v="Kolkata"/>
    <s v="Industrial Equipment"/>
    <n v="5"/>
    <n v="30000"/>
    <n v="150000"/>
    <d v="2026-05-01T00:00:00"/>
    <d v="2026-04-30T00:00:00"/>
    <s v="Pending"/>
    <s v="On Time"/>
  </r>
  <r>
    <s v="PO1049"/>
    <x v="48"/>
    <s v="S014"/>
    <s v="Smart Source India"/>
    <s v="Delhi"/>
    <s v="IT Equipment"/>
    <n v="6"/>
    <n v="22500"/>
    <n v="135000"/>
    <d v="2026-05-02T00:00:00"/>
    <d v="2026-05-05T00:00:00"/>
    <s v="Delivered"/>
    <s v="Late"/>
  </r>
  <r>
    <s v="PO1050"/>
    <x v="49"/>
    <s v="S015"/>
    <s v="United Suppliers"/>
    <s v="Mumbai"/>
    <s v="Cleaning Supplies"/>
    <n v="39"/>
    <n v="375"/>
    <n v="14625"/>
    <d v="2026-05-05T00:00:00"/>
    <d v="2026-05-09T00:00:00"/>
    <s v="Pending"/>
    <s v="Late"/>
  </r>
  <r>
    <s v="PO1051"/>
    <x v="50"/>
    <s v="S001"/>
    <s v="ABC Enterprises"/>
    <s v="Bhubaneswar"/>
    <s v="Office Supplies"/>
    <n v="30"/>
    <n v="650"/>
    <n v="19500"/>
    <d v="2026-05-05T00:00:00"/>
    <d v="2026-05-04T00:00:00"/>
    <s v="Delivered"/>
    <s v="On Time"/>
  </r>
  <r>
    <s v="PO1052"/>
    <x v="51"/>
    <s v="S002"/>
    <s v="Reliance Supplies"/>
    <s v="Cuttack"/>
    <s v="Electronics"/>
    <n v="5"/>
    <n v="13800"/>
    <n v="69000"/>
    <d v="2026-05-08T00:00:00"/>
    <d v="2026-05-11T00:00:00"/>
    <s v="Partially Delivered"/>
    <s v="Late"/>
  </r>
  <r>
    <s v="PO1053"/>
    <x v="52"/>
    <s v="S003"/>
    <s v="Global Office Solutions"/>
    <s v="Kolkata"/>
    <s v="Stationery"/>
    <n v="63"/>
    <n v="180"/>
    <n v="11340"/>
    <d v="2026-05-10T00:00:00"/>
    <d v="2026-05-14T00:00:00"/>
    <s v="Pending"/>
    <s v="Late"/>
  </r>
  <r>
    <s v="PO1054"/>
    <x v="53"/>
    <s v="S004"/>
    <s v="Prime Industrial"/>
    <s v="Mumbai"/>
    <s v="Industrial Equipment"/>
    <n v="6"/>
    <n v="27500"/>
    <n v="165000"/>
    <d v="2026-05-12T00:00:00"/>
    <d v="2026-05-11T00:00:00"/>
    <s v="Delivered"/>
    <s v="On Time"/>
  </r>
  <r>
    <s v="PO1055"/>
    <x v="54"/>
    <s v="S005"/>
    <s v="Eastern Traders"/>
    <s v="Bhubaneswar"/>
    <s v="IT Equipment"/>
    <n v="12"/>
    <n v="21600"/>
    <n v="259200"/>
    <d v="2026-05-15T00:00:00"/>
    <d v="2026-05-18T00:00:00"/>
    <s v="Pending"/>
    <s v="Late"/>
  </r>
  <r>
    <s v="PO1056"/>
    <x v="55"/>
    <s v="S006"/>
    <s v="Techno Supply Co"/>
    <s v="Pune"/>
    <s v="Cleaning Supplies"/>
    <n v="40"/>
    <n v="390"/>
    <n v="15600"/>
    <d v="2026-05-17T00:00:00"/>
    <d v="2026-05-21T00:00:00"/>
    <s v="Delivered"/>
    <s v="Late"/>
  </r>
  <r>
    <s v="PO1057"/>
    <x v="56"/>
    <s v="S007"/>
    <s v="Metro Wholesale"/>
    <s v="Delhi"/>
    <s v="Office Supplies"/>
    <n v="23"/>
    <n v="525"/>
    <n v="12075"/>
    <d v="2026-05-16T00:00:00"/>
    <d v="2026-05-15T00:00:00"/>
    <s v="Partially Delivered"/>
    <s v="On Time"/>
  </r>
  <r>
    <s v="PO1058"/>
    <x v="57"/>
    <s v="S008"/>
    <s v="Sunrise Enterprises"/>
    <s v="Hyderabad"/>
    <s v="Electronics"/>
    <n v="10"/>
    <n v="14400"/>
    <n v="144000"/>
    <d v="2026-05-19T00:00:00"/>
    <d v="2026-05-22T00:00:00"/>
    <s v="Pending"/>
    <s v="Late"/>
  </r>
  <r>
    <s v="PO1059"/>
    <x v="58"/>
    <s v="S009"/>
    <s v="Odisha Industrial Supply"/>
    <s v="Bhubaneswar"/>
    <s v="Stationery"/>
    <n v="71"/>
    <n v="190"/>
    <n v="13490"/>
    <d v="2026-05-22T00:00:00"/>
    <d v="2026-05-26T00:00:00"/>
    <s v="Delivered"/>
    <s v="Late"/>
  </r>
  <r>
    <s v="PO1060"/>
    <x v="59"/>
    <s v="S010"/>
    <s v="National Distributors"/>
    <s v="Chennai"/>
    <s v="Industrial Equipment"/>
    <n v="3"/>
    <n v="31250"/>
    <n v="93750"/>
    <d v="2026-05-22T00:00:00"/>
    <d v="2026-05-21T00:00:00"/>
    <s v="Pending"/>
    <s v="On Time"/>
  </r>
  <r>
    <s v="PO1061"/>
    <x v="60"/>
    <s v="S011"/>
    <s v="Vertex Supplies"/>
    <s v="Bangalore"/>
    <s v="IT Equipment"/>
    <n v="8"/>
    <n v="24300"/>
    <n v="194400"/>
    <d v="2026-05-26T00:00:00"/>
    <d v="2026-05-29T00:00:00"/>
    <s v="Delivered"/>
    <s v="Late"/>
  </r>
  <r>
    <s v="PO1062"/>
    <x v="61"/>
    <s v="S012"/>
    <s v="Cityline Traders"/>
    <s v="Cuttack"/>
    <s v="Cleaning Supplies"/>
    <n v="31"/>
    <n v="360"/>
    <n v="11160"/>
    <d v="2026-05-29T00:00:00"/>
    <d v="2026-06-02T00:00:00"/>
    <s v="Partially Delivered"/>
    <s v="Late"/>
  </r>
  <r>
    <s v="PO1063"/>
    <x v="62"/>
    <s v="S013"/>
    <s v="Pioneer Products"/>
    <s v="Kolkata"/>
    <s v="Office Supplies"/>
    <n v="26"/>
    <n v="675"/>
    <n v="17550"/>
    <d v="2026-05-29T00:00:00"/>
    <d v="2026-05-28T00:00:00"/>
    <s v="Pending"/>
    <s v="On Time"/>
  </r>
  <r>
    <s v="PO1064"/>
    <x v="63"/>
    <s v="S014"/>
    <s v="Smart Source India"/>
    <s v="Delhi"/>
    <s v="Electronics"/>
    <n v="5"/>
    <n v="15000"/>
    <n v="75000"/>
    <d v="2026-06-01T00:00:00"/>
    <d v="2026-06-04T00:00:00"/>
    <s v="Delivered"/>
    <s v="Late"/>
  </r>
  <r>
    <s v="PO1065"/>
    <x v="64"/>
    <s v="S015"/>
    <s v="United Suppliers"/>
    <s v="Mumbai"/>
    <s v="Stationery"/>
    <n v="54"/>
    <n v="150"/>
    <n v="8100"/>
    <d v="2026-06-03T00:00:00"/>
    <d v="2026-06-07T00:00:00"/>
    <s v="Pending"/>
    <s v="Late"/>
  </r>
  <r>
    <s v="PO1066"/>
    <x v="65"/>
    <s v="S001"/>
    <s v="ABC Enterprises"/>
    <s v="Bhubaneswar"/>
    <s v="Industrial Equipment"/>
    <n v="2"/>
    <n v="32500"/>
    <n v="65000"/>
    <d v="2026-06-03T00:00:00"/>
    <d v="2026-06-02T00:00:00"/>
    <s v="Delivered"/>
    <s v="On Time"/>
  </r>
  <r>
    <s v="PO1067"/>
    <x v="66"/>
    <s v="S002"/>
    <s v="Reliance Supplies"/>
    <s v="Cuttack"/>
    <s v="IT Equipment"/>
    <n v="5"/>
    <n v="26100"/>
    <n v="130500"/>
    <d v="2026-06-05T00:00:00"/>
    <d v="2026-06-08T00:00:00"/>
    <s v="Partially Delivered"/>
    <s v="Late"/>
  </r>
  <r>
    <s v="PO1068"/>
    <x v="67"/>
    <s v="S003"/>
    <s v="Global Office Solutions"/>
    <s v="Kolkata"/>
    <s v="Cleaning Supplies"/>
    <n v="46"/>
    <n v="375"/>
    <n v="17250"/>
    <d v="2026-06-07T00:00:00"/>
    <d v="2026-06-11T00:00:00"/>
    <s v="Pending"/>
    <s v="Late"/>
  </r>
  <r>
    <s v="PO1069"/>
    <x v="68"/>
    <s v="S004"/>
    <s v="Prime Industrial"/>
    <s v="Mumbai"/>
    <s v="Office Supplies"/>
    <n v="21"/>
    <n v="500"/>
    <n v="10500"/>
    <d v="2026-06-10T00:00:00"/>
    <d v="2026-06-09T00:00:00"/>
    <s v="Delivered"/>
    <s v="On Time"/>
  </r>
  <r>
    <s v="PO1070"/>
    <x v="69"/>
    <s v="S005"/>
    <s v="Eastern Traders"/>
    <s v="Bhubaneswar"/>
    <s v="Electronics"/>
    <n v="6"/>
    <n v="12000"/>
    <n v="72000"/>
    <d v="2026-06-12T00:00:00"/>
    <d v="2026-06-15T00:00:00"/>
    <s v="Pending"/>
    <s v="Late"/>
  </r>
  <r>
    <s v="PO1071"/>
    <x v="70"/>
    <s v="S006"/>
    <s v="Techno Supply Co"/>
    <s v="Pune"/>
    <s v="Stationery"/>
    <n v="55"/>
    <n v="190"/>
    <n v="10450"/>
    <d v="2026-06-13T00:00:00"/>
    <d v="2026-06-17T00:00:00"/>
    <s v="Delivered"/>
    <s v="Late"/>
  </r>
  <r>
    <s v="PO1072"/>
    <x v="71"/>
    <s v="S007"/>
    <s v="Metro Wholesale"/>
    <s v="Delhi"/>
    <s v="Industrial Equipment"/>
    <n v="4"/>
    <n v="28750"/>
    <n v="115000"/>
    <d v="2026-06-16T00:00:00"/>
    <d v="2026-06-15T00:00:00"/>
    <s v="Partially Delivered"/>
    <s v="On Time"/>
  </r>
  <r>
    <s v="PO1073"/>
    <x v="72"/>
    <s v="S008"/>
    <s v="Sunrise Enterprises"/>
    <s v="Hyderabad"/>
    <s v="IT Equipment"/>
    <n v="12"/>
    <n v="21600"/>
    <n v="259200"/>
    <d v="2026-06-20T00:00:00"/>
    <d v="2026-06-23T00:00:00"/>
    <s v="Pending"/>
    <s v="Late"/>
  </r>
  <r>
    <s v="PO1074"/>
    <x v="73"/>
    <s v="S009"/>
    <s v="Odisha Industrial Supply"/>
    <s v="Bhubaneswar"/>
    <s v="Cleaning Supplies"/>
    <n v="41"/>
    <n v="390"/>
    <n v="15990"/>
    <d v="2026-06-21T00:00:00"/>
    <d v="2026-06-25T00:00:00"/>
    <s v="Delivered"/>
    <s v="Late"/>
  </r>
  <r>
    <s v="PO1075"/>
    <x v="74"/>
    <s v="S010"/>
    <s v="National Distributors"/>
    <s v="Chennai"/>
    <s v="Office Supplies"/>
    <n v="27"/>
    <n v="575"/>
    <n v="15525"/>
    <d v="2026-06-22T00:00:00"/>
    <d v="2026-06-21T00:00:00"/>
    <s v="Pending"/>
    <s v="On Time"/>
  </r>
  <r>
    <s v="PO1076"/>
    <x v="75"/>
    <s v="S011"/>
    <s v="Vertex Supplies"/>
    <s v="Bangalore"/>
    <s v="Electronics"/>
    <n v="9"/>
    <n v="12600"/>
    <n v="113400"/>
    <d v="2026-06-25T00:00:00"/>
    <d v="2026-06-28T00:00:00"/>
    <s v="Delivered"/>
    <s v="Late"/>
  </r>
  <r>
    <s v="PO1077"/>
    <x v="76"/>
    <s v="S012"/>
    <s v="Cityline Traders"/>
    <s v="Cuttack"/>
    <s v="Stationery"/>
    <n v="62"/>
    <n v="180"/>
    <n v="11160"/>
    <d v="2026-06-27T00:00:00"/>
    <d v="2026-07-01T00:00:00"/>
    <s v="Partially Delivered"/>
    <s v="Late"/>
  </r>
  <r>
    <s v="PO1078"/>
    <x v="77"/>
    <s v="S013"/>
    <s v="Pioneer Products"/>
    <s v="Kolkata"/>
    <s v="Industrial Equipment"/>
    <n v="5"/>
    <n v="32500"/>
    <n v="162500"/>
    <d v="2026-06-28T00:00:00"/>
    <d v="2026-06-27T00:00:00"/>
    <s v="Pending"/>
    <s v="On Time"/>
  </r>
  <r>
    <s v="PO1079"/>
    <x v="78"/>
    <s v="S014"/>
    <s v="Smart Source India"/>
    <s v="Delhi"/>
    <s v="IT Equipment"/>
    <n v="8"/>
    <n v="23400"/>
    <n v="187200"/>
    <d v="2026-07-02T00:00:00"/>
    <d v="2026-07-05T00:00:00"/>
    <s v="Delivered"/>
    <s v="Late"/>
  </r>
  <r>
    <s v="PO1080"/>
    <x v="79"/>
    <s v="S015"/>
    <s v="United Suppliers"/>
    <s v="Mumbai"/>
    <s v="Cleaning Supplies"/>
    <n v="30"/>
    <n v="330"/>
    <n v="9900"/>
    <d v="2026-07-03T00:00:00"/>
    <d v="2026-07-07T00:00:00"/>
    <s v="Pending"/>
    <s v="Late"/>
  </r>
  <r>
    <s v="PO1081"/>
    <x v="80"/>
    <s v="S001"/>
    <s v="ABC Enterprises"/>
    <s v="Bhubaneswar"/>
    <s v="Office Supplies"/>
    <n v="25"/>
    <n v="525"/>
    <n v="13125"/>
    <d v="2026-07-03T00:00:00"/>
    <d v="2026-07-02T00:00:00"/>
    <s v="Delivered"/>
    <s v="On Time"/>
  </r>
  <r>
    <s v="PO1082"/>
    <x v="81"/>
    <s v="S002"/>
    <s v="Reliance Supplies"/>
    <s v="Cuttack"/>
    <s v="Electronics"/>
    <n v="7"/>
    <n v="13200"/>
    <n v="92400"/>
    <d v="2026-07-06T00:00:00"/>
    <d v="2026-07-09T00:00:00"/>
    <s v="Partially Delivered"/>
    <s v="Late"/>
  </r>
  <r>
    <s v="PO1083"/>
    <x v="82"/>
    <s v="S003"/>
    <s v="Global Office Solutions"/>
    <s v="Kolkata"/>
    <s v="Stationery"/>
    <n v="58"/>
    <n v="170"/>
    <n v="9860"/>
    <d v="2026-07-08T00:00:00"/>
    <d v="2026-07-12T00:00:00"/>
    <s v="Pending"/>
    <s v="Late"/>
  </r>
  <r>
    <s v="PO1084"/>
    <x v="83"/>
    <s v="S004"/>
    <s v="Prime Industrial"/>
    <s v="Mumbai"/>
    <s v="Industrial Equipment"/>
    <n v="5"/>
    <n v="30000"/>
    <n v="150000"/>
    <d v="2026-07-10T00:00:00"/>
    <d v="2026-07-09T00:00:00"/>
    <s v="Delivered"/>
    <s v="On Time"/>
  </r>
  <r>
    <s v="PO1085"/>
    <x v="84"/>
    <s v="S005"/>
    <s v="Eastern Traders"/>
    <s v="Bhubaneswar"/>
    <s v="IT Equipment"/>
    <n v="9"/>
    <n v="25200"/>
    <n v="226800"/>
    <d v="2026-07-13T00:00:00"/>
    <d v="2026-07-16T00:00:00"/>
    <s v="Pending"/>
    <s v="Late"/>
  </r>
  <r>
    <s v="PO1086"/>
    <x v="85"/>
    <s v="S006"/>
    <s v="Techno Supply Co"/>
    <s v="Pune"/>
    <s v="Cleaning Supplies"/>
    <n v="35"/>
    <n v="375"/>
    <n v="13125"/>
    <d v="2026-07-14T00:00:00"/>
    <d v="2026-07-18T00:00:00"/>
    <s v="Delivered"/>
    <s v="Late"/>
  </r>
  <r>
    <s v="PO1087"/>
    <x v="86"/>
    <s v="S007"/>
    <s v="Metro Wholesale"/>
    <s v="Delhi"/>
    <s v="Office Supplies"/>
    <n v="20"/>
    <n v="550"/>
    <n v="11000"/>
    <d v="2026-07-15T00:00:00"/>
    <d v="2026-07-14T00:00:00"/>
    <s v="Partially Delivered"/>
    <s v="On Time"/>
  </r>
  <r>
    <s v="PO1088"/>
    <x v="87"/>
    <s v="S008"/>
    <s v="Sunrise Enterprises"/>
    <s v="Hyderabad"/>
    <s v="Electronics"/>
    <n v="8"/>
    <n v="14400"/>
    <n v="115200"/>
    <d v="2026-07-20T00:00:00"/>
    <d v="2026-07-23T00:00:00"/>
    <s v="Pending"/>
    <s v="Late"/>
  </r>
  <r>
    <s v="PO1089"/>
    <x v="88"/>
    <s v="S009"/>
    <s v="Odisha Industrial Supply"/>
    <s v="Bhubaneswar"/>
    <s v="Stationery"/>
    <n v="67"/>
    <n v="190"/>
    <n v="12730"/>
    <d v="2026-07-20T00:00:00"/>
    <d v="2026-07-24T00:00:00"/>
    <s v="Delivered"/>
    <s v="Late"/>
  </r>
  <r>
    <s v="PO1090"/>
    <x v="89"/>
    <s v="S010"/>
    <s v="National Distributors"/>
    <s v="Chennai"/>
    <s v="Industrial Equipment"/>
    <n v="2"/>
    <n v="27500"/>
    <n v="55000"/>
    <d v="2026-07-22T00:00:00"/>
    <d v="2026-07-21T00:00:00"/>
    <s v="Pending"/>
    <s v="On Time"/>
  </r>
  <r>
    <s v="PO1091"/>
    <x v="90"/>
    <s v="S011"/>
    <s v="Vertex Supplies"/>
    <s v="Bangalore"/>
    <s v="IT Equipment"/>
    <n v="10"/>
    <n v="26100"/>
    <n v="261000"/>
    <d v="2026-07-26T00:00:00"/>
    <d v="2026-07-29T00:00:00"/>
    <s v="Delivered"/>
    <s v="Late"/>
  </r>
  <r>
    <s v="PO1092"/>
    <x v="91"/>
    <s v="S012"/>
    <s v="Cityline Traders"/>
    <s v="Cuttack"/>
    <s v="Cleaning Supplies"/>
    <n v="43"/>
    <n v="345"/>
    <n v="14835"/>
    <d v="2026-07-28T00:00:00"/>
    <d v="2026-08-01T00:00:00"/>
    <s v="Partially Delivered"/>
    <s v="Late"/>
  </r>
  <r>
    <s v="PO1093"/>
    <x v="92"/>
    <s v="S013"/>
    <s v="Pioneer Products"/>
    <s v="Kolkata"/>
    <s v="Office Supplies"/>
    <n v="31"/>
    <n v="575"/>
    <n v="17825"/>
    <d v="2026-07-28T00:00:00"/>
    <d v="2026-07-27T00:00:00"/>
    <s v="Pending"/>
    <s v="On Time"/>
  </r>
  <r>
    <s v="PO1094"/>
    <x v="93"/>
    <s v="S014"/>
    <s v="Smart Source India"/>
    <s v="Delhi"/>
    <s v="Electronics"/>
    <n v="4"/>
    <n v="15600"/>
    <n v="62400"/>
    <d v="2026-07-30T00:00:00"/>
    <d v="2026-08-02T00:00:00"/>
    <s v="Delivered"/>
    <s v="Late"/>
  </r>
  <r>
    <s v="PO1095"/>
    <x v="94"/>
    <s v="S015"/>
    <s v="United Suppliers"/>
    <s v="Mumbai"/>
    <s v="Stationery"/>
    <n v="63"/>
    <n v="180"/>
    <n v="11340"/>
    <d v="2026-08-01T00:00:00"/>
    <d v="2026-08-05T00:00:00"/>
    <s v="Pending"/>
    <s v="Late"/>
  </r>
  <r>
    <s v="PO1096"/>
    <x v="95"/>
    <s v="S001"/>
    <s v="ABC Enterprises"/>
    <s v="Bhubaneswar"/>
    <s v="Industrial Equipment"/>
    <n v="3"/>
    <n v="30000"/>
    <n v="90000"/>
    <d v="2026-08-02T00:00:00"/>
    <d v="2026-08-01T00:00:00"/>
    <s v="Delivered"/>
    <s v="On Time"/>
  </r>
  <r>
    <s v="PO1097"/>
    <x v="96"/>
    <s v="S002"/>
    <s v="Reliance Supplies"/>
    <s v="Cuttack"/>
    <s v="IT Equipment"/>
    <n v="12"/>
    <n v="23400"/>
    <n v="280800"/>
    <d v="2026-08-05T00:00:00"/>
    <d v="2026-08-08T00:00:00"/>
    <s v="Partially Delivered"/>
    <s v="Late"/>
  </r>
  <r>
    <s v="PO1098"/>
    <x v="97"/>
    <s v="S003"/>
    <s v="Global Office Solutions"/>
    <s v="Kolkata"/>
    <s v="Cleaning Supplies"/>
    <n v="32"/>
    <n v="360"/>
    <n v="11520"/>
    <d v="2026-08-06T00:00:00"/>
    <d v="2026-08-10T00:00:00"/>
    <s v="Pending"/>
    <s v="Late"/>
  </r>
  <r>
    <s v="PO1099"/>
    <x v="98"/>
    <s v="S004"/>
    <s v="Prime Industrial"/>
    <s v="Mumbai"/>
    <s v="Office Supplies"/>
    <n v="28"/>
    <n v="600"/>
    <n v="16800"/>
    <d v="2026-08-09T00:00:00"/>
    <d v="2026-08-08T00:00:00"/>
    <s v="Delivered"/>
    <s v="On Time"/>
  </r>
  <r>
    <s v="PO1100"/>
    <x v="99"/>
    <s v="S005"/>
    <s v="Eastern Traders"/>
    <s v="Bhubaneswar"/>
    <s v="Electronics"/>
    <n v="5"/>
    <n v="13200"/>
    <n v="66000"/>
    <d v="2026-08-11T00:00:00"/>
    <d v="2026-08-14T00:00:00"/>
    <s v="Pending"/>
    <s v="Late"/>
  </r>
  <r>
    <s v="PO1101"/>
    <x v="100"/>
    <s v="S006"/>
    <s v="Techno Supply Co"/>
    <s v="Pune"/>
    <s v="Stationery"/>
    <n v="71"/>
    <n v="150"/>
    <n v="10650"/>
    <d v="2026-08-13T00:00:00"/>
    <d v="2026-08-17T00:00:00"/>
    <s v="Delivered"/>
    <s v="Late"/>
  </r>
  <r>
    <s v="PO1102"/>
    <x v="101"/>
    <s v="S007"/>
    <s v="Metro Wholesale"/>
    <s v="Delhi"/>
    <s v="Industrial Equipment"/>
    <n v="6"/>
    <n v="31250"/>
    <n v="187500"/>
    <d v="2026-08-15T00:00:00"/>
    <d v="2026-08-14T00:00:00"/>
    <s v="Partially Delivered"/>
    <s v="On Time"/>
  </r>
  <r>
    <s v="PO1103"/>
    <x v="102"/>
    <s v="S008"/>
    <s v="Sunrise Enterprises"/>
    <s v="Hyderabad"/>
    <s v="IT Equipment"/>
    <n v="7"/>
    <n v="24300"/>
    <n v="170100"/>
    <d v="2026-08-19T00:00:00"/>
    <d v="2026-08-22T00:00:00"/>
    <s v="Pending"/>
    <s v="Late"/>
  </r>
  <r>
    <s v="PO1104"/>
    <x v="103"/>
    <s v="S009"/>
    <s v="Odisha Industrial Supply"/>
    <s v="Bhubaneswar"/>
    <s v="Cleaning Supplies"/>
    <n v="46"/>
    <n v="360"/>
    <n v="16560"/>
    <d v="2026-08-19T00:00:00"/>
    <d v="2026-08-23T00:00:00"/>
    <s v="Delivered"/>
    <s v="Late"/>
  </r>
  <r>
    <s v="PO1105"/>
    <x v="104"/>
    <s v="S010"/>
    <s v="National Distributors"/>
    <s v="Chennai"/>
    <s v="Office Supplies"/>
    <n v="22"/>
    <n v="625"/>
    <n v="13750"/>
    <d v="2026-08-22T00:00:00"/>
    <d v="2026-08-21T00:00:00"/>
    <s v="Pending"/>
    <s v="On Time"/>
  </r>
  <r>
    <s v="PO1106"/>
    <x v="105"/>
    <s v="S011"/>
    <s v="Vertex Supplies"/>
    <s v="Bangalore"/>
    <s v="Electronics"/>
    <n v="6"/>
    <n v="13800"/>
    <n v="82800"/>
    <d v="2026-08-25T00:00:00"/>
    <d v="2026-08-28T00:00:00"/>
    <s v="Delivered"/>
    <s v="Late"/>
  </r>
  <r>
    <s v="PO1107"/>
    <x v="106"/>
    <s v="S012"/>
    <s v="Cityline Traders"/>
    <s v="Cuttack"/>
    <s v="Stationery"/>
    <n v="56"/>
    <n v="160"/>
    <n v="8960"/>
    <d v="2026-08-26T00:00:00"/>
    <d v="2026-08-30T00:00:00"/>
    <s v="Partially Delivered"/>
    <s v="Late"/>
  </r>
  <r>
    <s v="PO1108"/>
    <x v="107"/>
    <s v="S013"/>
    <s v="Pioneer Products"/>
    <s v="Kolkata"/>
    <s v="Industrial Equipment"/>
    <n v="4"/>
    <n v="30000"/>
    <n v="120000"/>
    <d v="2026-08-29T00:00:00"/>
    <d v="2026-08-28T00:00:00"/>
    <s v="Pending"/>
    <s v="On Time"/>
  </r>
  <r>
    <s v="PO1109"/>
    <x v="108"/>
    <s v="S014"/>
    <s v="Smart Source India"/>
    <s v="Delhi"/>
    <s v="IT Equipment"/>
    <n v="11"/>
    <n v="25200"/>
    <n v="277200"/>
    <d v="2026-08-30T00:00:00"/>
    <d v="2026-09-02T00:00:00"/>
    <s v="Delivered"/>
    <s v="Late"/>
  </r>
  <r>
    <s v="PO1110"/>
    <x v="109"/>
    <s v="S015"/>
    <s v="United Suppliers"/>
    <s v="Mumbai"/>
    <s v="Cleaning Supplies"/>
    <n v="39"/>
    <n v="375"/>
    <n v="14625"/>
    <d v="2026-09-03T00:00:00"/>
    <d v="2026-09-07T00:00:00"/>
    <s v="Pending"/>
    <s v="Late"/>
  </r>
  <r>
    <s v="PO1111"/>
    <x v="110"/>
    <s v="S001"/>
    <s v="ABC Enterprises"/>
    <s v="Bhubaneswar"/>
    <s v="Office Supplies"/>
    <n v="24"/>
    <n v="550"/>
    <n v="13200"/>
    <d v="2026-09-04T00:00:00"/>
    <d v="2026-09-03T00:00:00"/>
    <s v="Delivered"/>
    <s v="On Time"/>
  </r>
  <r>
    <s v="PO1112"/>
    <x v="111"/>
    <s v="S002"/>
    <s v="Reliance Supplies"/>
    <s v="Cuttack"/>
    <s v="Electronics"/>
    <n v="10"/>
    <n v="15000"/>
    <n v="150000"/>
    <d v="2026-09-07T00:00:00"/>
    <d v="2026-09-10T00:00:00"/>
    <s v="Partially Delivered"/>
    <s v="Late"/>
  </r>
  <r>
    <s v="PO1113"/>
    <x v="112"/>
    <s v="S003"/>
    <s v="Global Office Solutions"/>
    <s v="Kolkata"/>
    <s v="Stationery"/>
    <n v="50"/>
    <n v="180"/>
    <n v="9000"/>
    <d v="2026-09-08T00:00:00"/>
    <d v="2026-09-12T00:00:00"/>
    <s v="Pending"/>
    <s v="Late"/>
  </r>
  <r>
    <s v="PO1114"/>
    <x v="113"/>
    <s v="S004"/>
    <s v="Prime Industrial"/>
    <s v="Mumbai"/>
    <s v="Industrial Equipment"/>
    <n v="2"/>
    <n v="28750"/>
    <n v="57500"/>
    <d v="2026-09-09T00:00:00"/>
    <d v="2026-09-08T00:00:00"/>
    <s v="Delivered"/>
    <s v="On Time"/>
  </r>
  <r>
    <s v="PO1115"/>
    <x v="114"/>
    <s v="S005"/>
    <s v="Eastern Traders"/>
    <s v="Bhubaneswar"/>
    <s v="IT Equipment"/>
    <n v="8"/>
    <n v="27000"/>
    <n v="216000"/>
    <d v="2026-09-10T00:00:00"/>
    <d v="2026-09-13T00:00:00"/>
    <s v="Pending"/>
    <s v="Late"/>
  </r>
  <r>
    <s v="PO1116"/>
    <x v="115"/>
    <s v="S006"/>
    <s v="Techno Supply Co"/>
    <s v="Pune"/>
    <s v="Cleaning Supplies"/>
    <n v="36"/>
    <n v="390"/>
    <n v="14040"/>
    <d v="2026-09-12T00:00:00"/>
    <d v="2026-09-16T00:00:00"/>
    <s v="Delivered"/>
    <s v="Late"/>
  </r>
  <r>
    <s v="PO1117"/>
    <x v="116"/>
    <s v="S007"/>
    <s v="Metro Wholesale"/>
    <s v="Delhi"/>
    <s v="Office Supplies"/>
    <n v="27"/>
    <n v="575"/>
    <n v="15525"/>
    <d v="2026-09-14T00:00:00"/>
    <d v="2026-09-13T00:00:00"/>
    <s v="Partially Delivered"/>
    <s v="On Time"/>
  </r>
  <r>
    <s v="PO1118"/>
    <x v="117"/>
    <s v="S008"/>
    <s v="Sunrise Enterprises"/>
    <s v="Hyderabad"/>
    <s v="Electronics"/>
    <n v="9"/>
    <n v="12000"/>
    <n v="108000"/>
    <d v="2026-09-18T00:00:00"/>
    <d v="2026-09-21T00:00:00"/>
    <s v="Pending"/>
    <s v="Late"/>
  </r>
  <r>
    <s v="PO1119"/>
    <x v="118"/>
    <s v="S009"/>
    <s v="Odisha Industrial Supply"/>
    <s v="Bhubaneswar"/>
    <s v="Stationery"/>
    <n v="70"/>
    <n v="150"/>
    <n v="10500"/>
    <d v="2026-09-17T00:00:00"/>
    <d v="2026-09-21T00:00:00"/>
    <s v="Delivered"/>
    <s v="Late"/>
  </r>
  <r>
    <s v="PO1120"/>
    <x v="119"/>
    <s v="S010"/>
    <s v="National Distributors"/>
    <s v="Chennai"/>
    <s v="Industrial Equipment"/>
    <n v="5"/>
    <n v="32500"/>
    <n v="162500"/>
    <d v="2026-09-19T00:00:00"/>
    <d v="2026-09-18T00:00:00"/>
    <s v="Pending"/>
    <s v="On Time"/>
  </r>
  <r>
    <s v="PO1121"/>
    <x v="120"/>
    <s v="S011"/>
    <s v="Vertex Supplies"/>
    <s v="Bangalore"/>
    <s v="IT Equipment"/>
    <n v="6"/>
    <n v="26100"/>
    <n v="156600"/>
    <d v="2026-09-23T00:00:00"/>
    <d v="2026-09-26T00:00:00"/>
    <s v="Delivered"/>
    <s v="Late"/>
  </r>
  <r>
    <s v="PO1122"/>
    <x v="121"/>
    <s v="S012"/>
    <s v="Cityline Traders"/>
    <s v="Cuttack"/>
    <s v="Cleaning Supplies"/>
    <n v="47"/>
    <n v="330"/>
    <n v="15510"/>
    <d v="2026-09-24T00:00:00"/>
    <d v="2026-09-28T00:00:00"/>
    <s v="Partially Delivered"/>
    <s v="Late"/>
  </r>
  <r>
    <s v="PO1123"/>
    <x v="122"/>
    <s v="S013"/>
    <s v="Pioneer Products"/>
    <s v="Kolkata"/>
    <s v="Office Supplies"/>
    <n v="33"/>
    <n v="600"/>
    <n v="19800"/>
    <d v="2026-09-25T00:00:00"/>
    <d v="2026-09-24T00:00:00"/>
    <s v="Pending"/>
    <s v="On Time"/>
  </r>
  <r>
    <s v="PO1124"/>
    <x v="123"/>
    <s v="S014"/>
    <s v="Smart Source India"/>
    <s v="Delhi"/>
    <s v="Electronics"/>
    <n v="5"/>
    <n v="14400"/>
    <n v="72000"/>
    <d v="2026-09-28T00:00:00"/>
    <d v="2026-10-01T00:00:00"/>
    <s v="Delivered"/>
    <s v="Late"/>
  </r>
  <r>
    <s v="PO1125"/>
    <x v="124"/>
    <s v="S015"/>
    <s v="United Suppliers"/>
    <s v="Mumbai"/>
    <s v="Stationery"/>
    <n v="59"/>
    <n v="170"/>
    <n v="10030"/>
    <d v="2026-09-30T00:00:00"/>
    <d v="2026-10-04T00:00:00"/>
    <s v="Pending"/>
    <s v="Late"/>
  </r>
  <r>
    <s v="PO1126"/>
    <x v="125"/>
    <s v="S001"/>
    <s v="ABC Enterprises"/>
    <s v="Bhubaneswar"/>
    <s v="Industrial Equipment"/>
    <n v="4"/>
    <n v="25000"/>
    <n v="100000"/>
    <d v="2026-10-02T00:00:00"/>
    <d v="2026-10-01T00:00:00"/>
    <s v="Delivered"/>
    <s v="On Time"/>
  </r>
  <r>
    <s v="PO1127"/>
    <x v="126"/>
    <s v="S002"/>
    <s v="Reliance Supplies"/>
    <s v="Cuttack"/>
    <s v="IT Equipment"/>
    <n v="9"/>
    <n v="27900"/>
    <n v="251100"/>
    <d v="2026-10-05T00:00:00"/>
    <d v="2026-10-08T00:00:00"/>
    <s v="Partially Delivered"/>
    <s v="Late"/>
  </r>
  <r>
    <s v="PO1128"/>
    <x v="127"/>
    <s v="S003"/>
    <s v="Global Office Solutions"/>
    <s v="Kolkata"/>
    <s v="Cleaning Supplies"/>
    <n v="44"/>
    <n v="345"/>
    <n v="15180"/>
    <d v="2026-10-06T00:00:00"/>
    <d v="2026-10-10T00:00:00"/>
    <s v="Pending"/>
    <s v="Late"/>
  </r>
  <r>
    <s v="PO1129"/>
    <x v="128"/>
    <s v="S004"/>
    <s v="Prime Industrial"/>
    <s v="Mumbai"/>
    <s v="Office Supplies"/>
    <n v="30"/>
    <n v="650"/>
    <n v="19500"/>
    <d v="2026-10-08T00:00:00"/>
    <d v="2026-10-07T00:00:00"/>
    <s v="Delivered"/>
    <s v="On Time"/>
  </r>
  <r>
    <s v="PO1130"/>
    <x v="129"/>
    <s v="S005"/>
    <s v="Eastern Traders"/>
    <s v="Bhubaneswar"/>
    <s v="Electronics"/>
    <n v="7"/>
    <n v="12600"/>
    <n v="88200"/>
    <d v="2026-10-10T00:00:00"/>
    <d v="2026-10-13T00:00:00"/>
    <s v="Pending"/>
    <s v="Late"/>
  </r>
  <r>
    <s v="PO1131"/>
    <x v="130"/>
    <s v="S006"/>
    <s v="Techno Supply Co"/>
    <s v="Pune"/>
    <s v="Stationery"/>
    <n v="52"/>
    <n v="160"/>
    <n v="8320"/>
    <d v="2026-10-12T00:00:00"/>
    <d v="2026-10-16T00:00:00"/>
    <s v="Delivered"/>
    <s v="Late"/>
  </r>
  <r>
    <s v="PO1132"/>
    <x v="131"/>
    <s v="S007"/>
    <s v="Metro Wholesale"/>
    <s v="Delhi"/>
    <s v="Industrial Equipment"/>
    <n v="3"/>
    <n v="27500"/>
    <n v="82500"/>
    <d v="2026-10-14T00:00:00"/>
    <d v="2026-10-13T00:00:00"/>
    <s v="Partially Delivered"/>
    <s v="On Time"/>
  </r>
  <r>
    <s v="PO1133"/>
    <x v="132"/>
    <s v="S008"/>
    <s v="Sunrise Enterprises"/>
    <s v="Hyderabad"/>
    <s v="IT Equipment"/>
    <n v="12"/>
    <n v="25200"/>
    <n v="302400"/>
    <d v="2026-10-18T00:00:00"/>
    <d v="2026-10-21T00:00:00"/>
    <s v="Pending"/>
    <s v="Late"/>
  </r>
  <r>
    <s v="PO1134"/>
    <x v="133"/>
    <s v="S009"/>
    <s v="Odisha Industrial Supply"/>
    <s v="Bhubaneswar"/>
    <s v="Cleaning Supplies"/>
    <n v="33"/>
    <n v="375"/>
    <n v="12375"/>
    <d v="2026-10-18T00:00:00"/>
    <d v="2026-10-22T00:00:00"/>
    <s v="Delivered"/>
    <s v="Late"/>
  </r>
  <r>
    <s v="PO1135"/>
    <x v="134"/>
    <s v="S010"/>
    <s v="National Distributors"/>
    <s v="Chennai"/>
    <s v="Office Supplies"/>
    <n v="25"/>
    <n v="500"/>
    <n v="12500"/>
    <d v="2026-10-20T00:00:00"/>
    <d v="2026-10-19T00:00:00"/>
    <s v="Pending"/>
    <s v="On Time"/>
  </r>
  <r>
    <s v="PO1136"/>
    <x v="135"/>
    <s v="S011"/>
    <s v="Vertex Supplies"/>
    <s v="Bangalore"/>
    <s v="Electronics"/>
    <n v="8"/>
    <n v="15000"/>
    <n v="120000"/>
    <d v="2026-10-23T00:00:00"/>
    <d v="2026-10-26T00:00:00"/>
    <s v="Delivered"/>
    <s v="Late"/>
  </r>
  <r>
    <s v="PO1137"/>
    <x v="136"/>
    <s v="S012"/>
    <s v="Cityline Traders"/>
    <s v="Cuttack"/>
    <s v="Stationery"/>
    <n v="61"/>
    <n v="190"/>
    <n v="11590"/>
    <d v="2026-10-24T00:00:00"/>
    <d v="2026-10-28T00:00:00"/>
    <s v="Partially Delivered"/>
    <s v="Late"/>
  </r>
  <r>
    <s v="PO1138"/>
    <x v="137"/>
    <s v="S013"/>
    <s v="Pioneer Products"/>
    <s v="Kolkata"/>
    <s v="Industrial Equipment"/>
    <n v="6"/>
    <n v="31250"/>
    <n v="187500"/>
    <d v="2026-10-27T00:00:00"/>
    <d v="2026-10-26T00:00:00"/>
    <s v="Pending"/>
    <s v="On Time"/>
  </r>
  <r>
    <s v="PO1139"/>
    <x v="138"/>
    <s v="S014"/>
    <s v="Smart Source India"/>
    <s v="Delhi"/>
    <s v="IT Equipment"/>
    <n v="10"/>
    <n v="26100"/>
    <n v="261000"/>
    <d v="2026-10-30T00:00:00"/>
    <d v="2026-11-02T00:00:00"/>
    <s v="Delivered"/>
    <s v="Late"/>
  </r>
  <r>
    <s v="PO1140"/>
    <x v="139"/>
    <s v="S015"/>
    <s v="United Suppliers"/>
    <s v="Mumbai"/>
    <s v="Cleaning Supplies"/>
    <n v="45"/>
    <n v="360"/>
    <n v="16200"/>
    <d v="2026-11-02T00:00:00"/>
    <d v="2026-11-06T00:00:00"/>
    <s v="Pending"/>
    <s v="Late"/>
  </r>
  <r>
    <s v="PO1141"/>
    <x v="140"/>
    <s v="S001"/>
    <s v="ABC Enterprises"/>
    <s v="Bhubaneswar"/>
    <s v="Office Supplies"/>
    <n v="31"/>
    <n v="525"/>
    <n v="16275"/>
    <d v="2026-11-02T00:00:00"/>
    <d v="2026-11-01T00:00:00"/>
    <s v="Delivered"/>
    <s v="On Time"/>
  </r>
  <r>
    <s v="PO1142"/>
    <x v="141"/>
    <s v="S002"/>
    <s v="Reliance Supplies"/>
    <s v="Cuttack"/>
    <s v="Electronics"/>
    <n v="6"/>
    <n v="13800"/>
    <n v="82800"/>
    <d v="2026-11-05T00:00:00"/>
    <d v="2026-11-08T00:00:00"/>
    <s v="Partially Delivered"/>
    <s v="Late"/>
  </r>
  <r>
    <s v="PO1143"/>
    <x v="142"/>
    <s v="S003"/>
    <s v="Global Office Solutions"/>
    <s v="Kolkata"/>
    <s v="Stationery"/>
    <n v="64"/>
    <n v="180"/>
    <n v="11520"/>
    <d v="2026-11-06T00:00:00"/>
    <d v="2026-11-10T00:00:00"/>
    <s v="Pending"/>
    <s v="Late"/>
  </r>
  <r>
    <s v="PO1144"/>
    <x v="143"/>
    <s v="S004"/>
    <s v="Prime Industrial"/>
    <s v="Mumbai"/>
    <s v="Industrial Equipment"/>
    <n v="5"/>
    <n v="30000"/>
    <n v="150000"/>
    <d v="2026-11-07T00:00:00"/>
    <d v="2026-11-06T00:00:00"/>
    <s v="Delivered"/>
    <s v="On Time"/>
  </r>
  <r>
    <s v="PO1145"/>
    <x v="144"/>
    <s v="S005"/>
    <s v="Eastern Traders"/>
    <s v="Bhubaneswar"/>
    <s v="IT Equipment"/>
    <n v="7"/>
    <n v="28800"/>
    <n v="201600"/>
    <d v="2026-11-11T00:00:00"/>
    <d v="2026-11-14T00:00:00"/>
    <s v="Pending"/>
    <s v="Late"/>
  </r>
  <r>
    <s v="PO1146"/>
    <x v="145"/>
    <s v="S006"/>
    <s v="Techno Supply Co"/>
    <s v="Pune"/>
    <s v="Cleaning Supplies"/>
    <n v="38"/>
    <n v="345"/>
    <n v="13110"/>
    <d v="2026-11-13T00:00:00"/>
    <d v="2026-11-17T00:00:00"/>
    <s v="Delivered"/>
    <s v="Late"/>
  </r>
  <r>
    <s v="PO1147"/>
    <x v="146"/>
    <s v="S007"/>
    <s v="Metro Wholesale"/>
    <s v="Delhi"/>
    <s v="Office Supplies"/>
    <n v="28"/>
    <n v="600"/>
    <n v="16800"/>
    <d v="2026-11-12T00:00:00"/>
    <d v="2026-11-11T00:00:00"/>
    <s v="Partially Delivered"/>
    <s v="On Time"/>
  </r>
  <r>
    <s v="PO1148"/>
    <x v="147"/>
    <s v="S008"/>
    <s v="Sunrise Enterprises"/>
    <s v="Hyderabad"/>
    <s v="Electronics"/>
    <n v="10"/>
    <n v="13200"/>
    <n v="132000"/>
    <d v="2026-11-16T00:00:00"/>
    <d v="2026-11-19T00:00:00"/>
    <s v="Pending"/>
    <s v="Late"/>
  </r>
  <r>
    <s v="PO1149"/>
    <x v="148"/>
    <s v="S009"/>
    <s v="Odisha Industrial Supply"/>
    <s v="Bhubaneswar"/>
    <s v="Stationery"/>
    <n v="57"/>
    <n v="170"/>
    <n v="9690"/>
    <d v="2026-11-16T00:00:00"/>
    <d v="2026-11-20T00:00:00"/>
    <s v="Delivered"/>
    <s v="Late"/>
  </r>
  <r>
    <s v="PO1150"/>
    <x v="149"/>
    <s v="S010"/>
    <s v="National Distributors"/>
    <s v="Chennai"/>
    <s v="Industrial Equipment"/>
    <n v="4"/>
    <n v="28750"/>
    <n v="115000"/>
    <d v="2026-11-19T00:00:00"/>
    <d v="2026-11-18T00:00:00"/>
    <s v="Pending"/>
    <s v="On Time"/>
  </r>
  <r>
    <s v="PO1151"/>
    <x v="150"/>
    <s v="S011"/>
    <s v="Vertex Supplies"/>
    <s v="Bangalore"/>
    <s v="IT Equipment"/>
    <n v="11"/>
    <n v="27000"/>
    <n v="297000"/>
    <d v="2026-11-23T00:00:00"/>
    <d v="2026-11-26T00:00:00"/>
    <s v="Delivered"/>
    <s v="Late"/>
  </r>
  <r>
    <s v="PO1152"/>
    <x v="151"/>
    <s v="S012"/>
    <s v="Cityline Traders"/>
    <s v="Cuttack"/>
    <s v="Cleaning Supplies"/>
    <n v="42"/>
    <n v="375"/>
    <n v="15750"/>
    <d v="2026-11-23T00:00:00"/>
    <d v="2026-11-27T00:00:00"/>
    <s v="Partially Delivered"/>
    <s v="Late"/>
  </r>
  <r>
    <s v="PO1153"/>
    <x v="152"/>
    <s v="S013"/>
    <s v="Pioneer Products"/>
    <s v="Kolkata"/>
    <s v="Office Supplies"/>
    <n v="34"/>
    <n v="550"/>
    <n v="18700"/>
    <d v="2026-11-26T00:00:00"/>
    <d v="2026-11-25T00:00:00"/>
    <s v="Pending"/>
    <s v="On Time"/>
  </r>
  <r>
    <s v="PO1154"/>
    <x v="153"/>
    <s v="S014"/>
    <s v="Smart Source India"/>
    <s v="Delhi"/>
    <s v="Electronics"/>
    <n v="9"/>
    <n v="14400"/>
    <n v="129600"/>
    <d v="2026-11-29T00:00:00"/>
    <d v="2026-12-02T00:00:00"/>
    <s v="Delivered"/>
    <s v="Late"/>
  </r>
  <r>
    <s v="PO1155"/>
    <x v="154"/>
    <s v="S015"/>
    <s v="United Suppliers"/>
    <s v="Mumbai"/>
    <s v="Stationery"/>
    <n v="58"/>
    <n v="190"/>
    <n v="11020"/>
    <d v="2026-12-06T00:00:00"/>
    <d v="2026-12-10T00:00:00"/>
    <s v="Pending"/>
    <s v="Lat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065070-5CEE-4C1B-81D2-FE6AB3C7C3BC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5" firstHeaderRow="1" firstDataRow="1" firstDataCol="1"/>
  <pivotFields count="15">
    <pivotField showAll="0"/>
    <pivotField axis="axisRow" numFmtId="14" showAll="0">
      <items count="1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numFmtId="14" showAll="0"/>
    <pivotField numFmtId="14"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4"/>
    <field x="13"/>
    <field x="1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O Value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8D522D-85FD-47FD-A79B-CC88DDEF8F8A}" name="Table2" displayName="Table2" ref="A1:M156" totalsRowShown="0">
  <autoFilter ref="A1:M156" xr:uid="{308D522D-85FD-47FD-A79B-CC88DDEF8F8A}"/>
  <tableColumns count="13">
    <tableColumn id="1" xr3:uid="{AC08479E-FBD6-4BB4-8F76-4FC5B4910123}" name="PO Number"/>
    <tableColumn id="2" xr3:uid="{F20F6400-7D3D-48FD-8858-D77D7965B8FE}" name="PO Date" dataDxfId="8"/>
    <tableColumn id="3" xr3:uid="{0C5832FC-42CE-4E35-95B9-A93C65195DD6}" name="Supplier ID" dataDxfId="7"/>
    <tableColumn id="4" xr3:uid="{24591202-C502-4446-A387-19EAB1846558}" name="Supplier Name"/>
    <tableColumn id="5" xr3:uid="{155D0C64-F5BE-4703-BEBC-714FEA561D6B}" name="City" dataDxfId="0"/>
    <tableColumn id="6" xr3:uid="{216E0AFB-0B68-4109-9538-4592AFB6CB6E}" name="Category"/>
    <tableColumn id="7" xr3:uid="{876DF531-8C5C-44C0-9559-9396CA211F49}" name="Quantity" dataDxfId="6"/>
    <tableColumn id="8" xr3:uid="{ACE34F62-6F13-41A0-8CF1-4A5B7FB7B5E4}" name="Unit Price" dataDxfId="5"/>
    <tableColumn id="9" xr3:uid="{50488094-FF60-4FC1-989D-8837D43BC3A0}" name="PO Value" dataDxfId="4">
      <calculatedColumnFormula>G2*H2</calculatedColumnFormula>
    </tableColumn>
    <tableColumn id="10" xr3:uid="{7BA5193B-5377-4F69-9954-D0C8CD964B6D}" name="Expected Delivery" dataDxfId="3"/>
    <tableColumn id="11" xr3:uid="{285ACC11-77EB-46CA-85BC-CC0DFBB66DAF}" name="Actual Delivery" dataDxfId="2"/>
    <tableColumn id="12" xr3:uid="{78A0AF8B-B63F-4566-B75F-6FA395D536BD}" name="Status"/>
    <tableColumn id="13" xr3:uid="{5C105221-69C6-460C-80F4-2C71FA63D838}" name="Delivery Check" dataDxfId="1">
      <calculatedColumnFormula>IF(K2&gt;J2,"Late","On Time")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95F86B-68C0-494D-84DF-79CC11D2DB74}" name="Table1" displayName="Table1" ref="A1:C16" totalsRowShown="0">
  <autoFilter ref="A1:C16" xr:uid="{1195F86B-68C0-494D-84DF-79CC11D2DB74}"/>
  <tableColumns count="3">
    <tableColumn id="1" xr3:uid="{D4DBE811-98E7-4FEB-A096-E000DCD08811}" name="Supplier ID"/>
    <tableColumn id="2" xr3:uid="{6F33DF3E-F37D-4FD1-A29F-B8FE1CF87828}" name="                  Supplier Name"/>
    <tableColumn id="3" xr3:uid="{DE874FF2-B97F-44D1-8B8C-C2D1F59AFE08}" name="                            C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9198D-CA14-4193-8AEB-A00DC6E2678E}">
  <dimension ref="A1:M156"/>
  <sheetViews>
    <sheetView topLeftCell="A70" zoomScaleNormal="100" workbookViewId="0">
      <selection activeCell="F12" sqref="F12"/>
    </sheetView>
  </sheetViews>
  <sheetFormatPr defaultRowHeight="14.4" x14ac:dyDescent="0.3"/>
  <cols>
    <col min="1" max="2" width="12.6640625" customWidth="1"/>
    <col min="3" max="3" width="12" customWidth="1"/>
    <col min="4" max="4" width="22.6640625" customWidth="1"/>
    <col min="5" max="5" width="22.77734375" customWidth="1"/>
    <col min="6" max="6" width="17.88671875" bestFit="1" customWidth="1"/>
    <col min="7" max="7" width="10.21875" customWidth="1"/>
    <col min="8" max="8" width="13.6640625" customWidth="1"/>
    <col min="9" max="9" width="10.5546875" customWidth="1"/>
    <col min="10" max="10" width="17.77734375" customWidth="1"/>
    <col min="11" max="11" width="15.44140625" customWidth="1"/>
    <col min="12" max="12" width="15.77734375" bestFit="1" customWidth="1"/>
    <col min="13" max="13" width="16.44140625" customWidth="1"/>
  </cols>
  <sheetData>
    <row r="1" spans="1:13" x14ac:dyDescent="0.3">
      <c r="A1" t="s">
        <v>70</v>
      </c>
      <c r="B1" s="2" t="s">
        <v>71</v>
      </c>
      <c r="C1" t="s">
        <v>0</v>
      </c>
      <c r="D1" t="s">
        <v>1</v>
      </c>
      <c r="E1" t="s">
        <v>2</v>
      </c>
      <c r="F1" t="s">
        <v>72</v>
      </c>
      <c r="G1" s="1" t="s">
        <v>73</v>
      </c>
      <c r="H1" s="1" t="s">
        <v>74</v>
      </c>
      <c r="I1" t="s">
        <v>75</v>
      </c>
      <c r="J1" s="1" t="s">
        <v>76</v>
      </c>
      <c r="K1" s="1" t="s">
        <v>77</v>
      </c>
      <c r="L1" t="s">
        <v>78</v>
      </c>
      <c r="M1" t="s">
        <v>108</v>
      </c>
    </row>
    <row r="2" spans="1:13" x14ac:dyDescent="0.3">
      <c r="A2" t="s">
        <v>79</v>
      </c>
      <c r="B2" s="3">
        <v>46023</v>
      </c>
      <c r="C2" s="1" t="s">
        <v>3</v>
      </c>
      <c r="D2" s="22" t="str">
        <f>_xlfn.XLOOKUP(C2,'Supplier Master'!$A$2:$A$16,'Supplier Master'!$B$2:$B$16,"Not Found")</f>
        <v xml:space="preserve">                  ABC Enterprises</v>
      </c>
      <c r="E2" s="22" t="str">
        <f>_xlfn.XLOOKUP(C2,'Supplier Master'!$A$2:$A$16,'Supplier Master'!$C$2:$C$16,"Not Found")</f>
        <v xml:space="preserve">                       Bhubaneswar</v>
      </c>
      <c r="F2" t="s">
        <v>80</v>
      </c>
      <c r="G2" s="1">
        <v>20</v>
      </c>
      <c r="H2" s="1">
        <v>500</v>
      </c>
      <c r="I2">
        <f t="shared" ref="I2:I21" si="0">G2*H2</f>
        <v>10000</v>
      </c>
      <c r="J2" s="4">
        <v>46032</v>
      </c>
      <c r="K2" s="4">
        <v>46031</v>
      </c>
      <c r="L2" t="s">
        <v>81</v>
      </c>
      <c r="M2" t="str">
        <f t="shared" ref="M2:M21" si="1">IF(K2&gt;J2,"Late","On Time")</f>
        <v>On Time</v>
      </c>
    </row>
    <row r="3" spans="1:13" x14ac:dyDescent="0.3">
      <c r="A3" t="s">
        <v>82</v>
      </c>
      <c r="B3" s="3">
        <v>46025</v>
      </c>
      <c r="C3" s="1" t="s">
        <v>6</v>
      </c>
      <c r="D3" t="s">
        <v>7</v>
      </c>
      <c r="E3" s="22" t="s">
        <v>8</v>
      </c>
      <c r="F3" t="s">
        <v>83</v>
      </c>
      <c r="G3" s="1">
        <v>5</v>
      </c>
      <c r="H3" s="1">
        <v>12000</v>
      </c>
      <c r="I3">
        <f t="shared" si="0"/>
        <v>60000</v>
      </c>
      <c r="J3" s="4">
        <v>46037</v>
      </c>
      <c r="K3" s="4">
        <v>46038</v>
      </c>
      <c r="L3" t="s">
        <v>84</v>
      </c>
      <c r="M3" t="str">
        <f t="shared" si="1"/>
        <v>Late</v>
      </c>
    </row>
    <row r="4" spans="1:13" x14ac:dyDescent="0.3">
      <c r="A4" t="s">
        <v>85</v>
      </c>
      <c r="B4" s="3">
        <v>46027</v>
      </c>
      <c r="C4" s="1" t="s">
        <v>9</v>
      </c>
      <c r="D4" t="s">
        <v>10</v>
      </c>
      <c r="E4" s="22" t="s">
        <v>11</v>
      </c>
      <c r="F4" t="s">
        <v>86</v>
      </c>
      <c r="G4" s="1">
        <v>50</v>
      </c>
      <c r="H4" s="1">
        <v>150</v>
      </c>
      <c r="I4">
        <f t="shared" si="0"/>
        <v>7500</v>
      </c>
      <c r="J4" s="4">
        <v>46040</v>
      </c>
      <c r="K4" s="4">
        <v>46039</v>
      </c>
      <c r="L4" t="s">
        <v>81</v>
      </c>
      <c r="M4" t="str">
        <f t="shared" si="1"/>
        <v>On Time</v>
      </c>
    </row>
    <row r="5" spans="1:13" x14ac:dyDescent="0.3">
      <c r="A5" t="s">
        <v>87</v>
      </c>
      <c r="B5" s="3">
        <v>46030</v>
      </c>
      <c r="C5" s="1" t="s">
        <v>12</v>
      </c>
      <c r="D5" t="s">
        <v>13</v>
      </c>
      <c r="E5" s="22" t="s">
        <v>14</v>
      </c>
      <c r="F5" t="s">
        <v>88</v>
      </c>
      <c r="G5" s="1">
        <v>3</v>
      </c>
      <c r="H5" s="1">
        <v>25000</v>
      </c>
      <c r="I5">
        <f t="shared" si="0"/>
        <v>75000</v>
      </c>
      <c r="J5" s="4">
        <v>46042</v>
      </c>
      <c r="K5" s="4">
        <v>46044</v>
      </c>
      <c r="L5" t="s">
        <v>89</v>
      </c>
      <c r="M5" t="str">
        <f t="shared" si="1"/>
        <v>Late</v>
      </c>
    </row>
    <row r="6" spans="1:13" x14ac:dyDescent="0.3">
      <c r="A6" t="s">
        <v>90</v>
      </c>
      <c r="B6" s="3">
        <v>46032</v>
      </c>
      <c r="C6" s="1" t="s">
        <v>15</v>
      </c>
      <c r="D6" t="s">
        <v>16</v>
      </c>
      <c r="E6" s="22" t="s">
        <v>5</v>
      </c>
      <c r="F6" t="s">
        <v>80</v>
      </c>
      <c r="G6" s="1">
        <v>30</v>
      </c>
      <c r="H6" s="1">
        <v>750</v>
      </c>
      <c r="I6">
        <f t="shared" si="0"/>
        <v>22500</v>
      </c>
      <c r="J6" s="4">
        <v>46044</v>
      </c>
      <c r="K6" s="4">
        <v>46043</v>
      </c>
      <c r="L6" t="s">
        <v>81</v>
      </c>
      <c r="M6" t="str">
        <f t="shared" si="1"/>
        <v>On Time</v>
      </c>
    </row>
    <row r="7" spans="1:13" x14ac:dyDescent="0.3">
      <c r="A7" t="s">
        <v>91</v>
      </c>
      <c r="B7" s="3">
        <v>46034</v>
      </c>
      <c r="C7" s="1" t="s">
        <v>17</v>
      </c>
      <c r="D7" t="s">
        <v>18</v>
      </c>
      <c r="E7" s="22" t="s">
        <v>19</v>
      </c>
      <c r="F7" t="s">
        <v>92</v>
      </c>
      <c r="G7" s="1">
        <v>8</v>
      </c>
      <c r="H7" s="1">
        <v>18000</v>
      </c>
      <c r="I7">
        <f t="shared" si="0"/>
        <v>144000</v>
      </c>
      <c r="J7" s="4">
        <v>46047</v>
      </c>
      <c r="K7" s="4">
        <v>46049</v>
      </c>
      <c r="L7" t="s">
        <v>84</v>
      </c>
      <c r="M7" t="str">
        <f t="shared" si="1"/>
        <v>Late</v>
      </c>
    </row>
    <row r="8" spans="1:13" x14ac:dyDescent="0.3">
      <c r="A8" t="s">
        <v>93</v>
      </c>
      <c r="B8" s="3">
        <v>46037</v>
      </c>
      <c r="C8" s="1" t="s">
        <v>20</v>
      </c>
      <c r="D8" t="s">
        <v>21</v>
      </c>
      <c r="E8" s="22" t="s">
        <v>22</v>
      </c>
      <c r="F8" t="s">
        <v>86</v>
      </c>
      <c r="G8" s="1">
        <v>100</v>
      </c>
      <c r="H8" s="1">
        <v>90</v>
      </c>
      <c r="I8">
        <f t="shared" si="0"/>
        <v>9000</v>
      </c>
      <c r="J8" s="4">
        <v>46050</v>
      </c>
      <c r="K8" s="4">
        <v>46049</v>
      </c>
      <c r="L8" t="s">
        <v>81</v>
      </c>
      <c r="M8" t="str">
        <f t="shared" si="1"/>
        <v>On Time</v>
      </c>
    </row>
    <row r="9" spans="1:13" x14ac:dyDescent="0.3">
      <c r="A9" t="s">
        <v>94</v>
      </c>
      <c r="B9" s="3">
        <v>46040</v>
      </c>
      <c r="C9" s="1" t="s">
        <v>23</v>
      </c>
      <c r="D9" t="s">
        <v>24</v>
      </c>
      <c r="E9" s="22" t="s">
        <v>25</v>
      </c>
      <c r="F9" t="s">
        <v>95</v>
      </c>
      <c r="G9" s="1">
        <v>40</v>
      </c>
      <c r="H9" s="1">
        <v>300</v>
      </c>
      <c r="I9">
        <f t="shared" si="0"/>
        <v>12000</v>
      </c>
      <c r="J9" s="4">
        <v>46052</v>
      </c>
      <c r="K9" s="4">
        <v>46055</v>
      </c>
      <c r="L9" t="s">
        <v>89</v>
      </c>
      <c r="M9" t="str">
        <f t="shared" si="1"/>
        <v>Late</v>
      </c>
    </row>
    <row r="10" spans="1:13" x14ac:dyDescent="0.3">
      <c r="A10" t="s">
        <v>96</v>
      </c>
      <c r="B10" s="3">
        <v>46042</v>
      </c>
      <c r="C10" s="1" t="s">
        <v>26</v>
      </c>
      <c r="D10" t="s">
        <v>27</v>
      </c>
      <c r="E10" s="22" t="s">
        <v>5</v>
      </c>
      <c r="F10" t="s">
        <v>88</v>
      </c>
      <c r="G10" s="1">
        <v>6</v>
      </c>
      <c r="H10" s="1">
        <v>15000</v>
      </c>
      <c r="I10">
        <f t="shared" si="0"/>
        <v>90000</v>
      </c>
      <c r="J10" s="4">
        <v>46055</v>
      </c>
      <c r="K10" s="4">
        <v>46054</v>
      </c>
      <c r="L10" t="s">
        <v>81</v>
      </c>
      <c r="M10" t="str">
        <f t="shared" si="1"/>
        <v>On Time</v>
      </c>
    </row>
    <row r="11" spans="1:13" x14ac:dyDescent="0.3">
      <c r="A11" t="s">
        <v>97</v>
      </c>
      <c r="B11" s="3">
        <v>46044</v>
      </c>
      <c r="C11" s="1" t="s">
        <v>28</v>
      </c>
      <c r="D11" t="s">
        <v>29</v>
      </c>
      <c r="E11" s="22" t="s">
        <v>30</v>
      </c>
      <c r="F11" t="s">
        <v>80</v>
      </c>
      <c r="G11" s="1">
        <v>25</v>
      </c>
      <c r="H11" s="1">
        <v>600</v>
      </c>
      <c r="I11">
        <f t="shared" si="0"/>
        <v>15000</v>
      </c>
      <c r="J11" s="4">
        <v>46058</v>
      </c>
      <c r="K11" s="4">
        <v>46060</v>
      </c>
      <c r="L11" t="s">
        <v>84</v>
      </c>
      <c r="M11" t="str">
        <f t="shared" si="1"/>
        <v>Late</v>
      </c>
    </row>
    <row r="12" spans="1:13" x14ac:dyDescent="0.3">
      <c r="A12" t="s">
        <v>98</v>
      </c>
      <c r="B12" s="3">
        <v>46047</v>
      </c>
      <c r="C12" s="1" t="s">
        <v>31</v>
      </c>
      <c r="D12" t="s">
        <v>32</v>
      </c>
      <c r="E12" s="22" t="s">
        <v>33</v>
      </c>
      <c r="F12" t="s">
        <v>92</v>
      </c>
      <c r="G12" s="1">
        <v>10</v>
      </c>
      <c r="H12" s="1">
        <v>22000</v>
      </c>
      <c r="I12">
        <f t="shared" si="0"/>
        <v>220000</v>
      </c>
      <c r="J12" s="4">
        <v>46061</v>
      </c>
      <c r="K12" s="4">
        <v>46060</v>
      </c>
      <c r="L12" t="s">
        <v>81</v>
      </c>
      <c r="M12" t="str">
        <f t="shared" si="1"/>
        <v>On Time</v>
      </c>
    </row>
    <row r="13" spans="1:13" x14ac:dyDescent="0.3">
      <c r="A13" t="s">
        <v>99</v>
      </c>
      <c r="B13" s="3">
        <v>46050</v>
      </c>
      <c r="C13" s="1" t="s">
        <v>34</v>
      </c>
      <c r="D13" t="s">
        <v>35</v>
      </c>
      <c r="E13" s="22" t="s">
        <v>8</v>
      </c>
      <c r="F13" t="s">
        <v>86</v>
      </c>
      <c r="G13" s="1">
        <v>75</v>
      </c>
      <c r="H13" s="1">
        <v>120</v>
      </c>
      <c r="I13">
        <f t="shared" si="0"/>
        <v>9000</v>
      </c>
      <c r="J13" s="4">
        <v>46063</v>
      </c>
      <c r="K13" s="4">
        <v>46065</v>
      </c>
      <c r="L13" t="s">
        <v>84</v>
      </c>
      <c r="M13" t="str">
        <f t="shared" si="1"/>
        <v>Late</v>
      </c>
    </row>
    <row r="14" spans="1:13" x14ac:dyDescent="0.3">
      <c r="A14" t="s">
        <v>100</v>
      </c>
      <c r="B14" s="3">
        <v>46054</v>
      </c>
      <c r="C14" s="1" t="s">
        <v>36</v>
      </c>
      <c r="D14" t="s">
        <v>37</v>
      </c>
      <c r="E14" s="22" t="s">
        <v>11</v>
      </c>
      <c r="F14" t="s">
        <v>95</v>
      </c>
      <c r="G14" s="1">
        <v>35</v>
      </c>
      <c r="H14" s="1">
        <v>400</v>
      </c>
      <c r="I14">
        <f t="shared" si="0"/>
        <v>14000</v>
      </c>
      <c r="J14" s="4">
        <v>46068</v>
      </c>
      <c r="K14" s="4">
        <v>46067</v>
      </c>
      <c r="L14" t="s">
        <v>81</v>
      </c>
      <c r="M14" t="str">
        <f t="shared" si="1"/>
        <v>On Time</v>
      </c>
    </row>
    <row r="15" spans="1:13" x14ac:dyDescent="0.3">
      <c r="A15" t="s">
        <v>101</v>
      </c>
      <c r="B15" s="3">
        <v>46057</v>
      </c>
      <c r="C15" s="1" t="s">
        <v>38</v>
      </c>
      <c r="D15" t="s">
        <v>39</v>
      </c>
      <c r="E15" s="22" t="s">
        <v>22</v>
      </c>
      <c r="F15" t="s">
        <v>83</v>
      </c>
      <c r="G15" s="1">
        <v>4</v>
      </c>
      <c r="H15" s="1">
        <v>15000</v>
      </c>
      <c r="I15">
        <f t="shared" si="0"/>
        <v>60000</v>
      </c>
      <c r="J15" s="4">
        <v>46071</v>
      </c>
      <c r="K15" s="4">
        <v>46073</v>
      </c>
      <c r="L15" t="s">
        <v>89</v>
      </c>
      <c r="M15" t="str">
        <f t="shared" si="1"/>
        <v>Late</v>
      </c>
    </row>
    <row r="16" spans="1:13" x14ac:dyDescent="0.3">
      <c r="A16" t="s">
        <v>102</v>
      </c>
      <c r="B16" s="3">
        <v>46060</v>
      </c>
      <c r="C16" s="1" t="s">
        <v>40</v>
      </c>
      <c r="D16" t="s">
        <v>41</v>
      </c>
      <c r="E16" s="22" t="s">
        <v>14</v>
      </c>
      <c r="F16" t="s">
        <v>80</v>
      </c>
      <c r="G16" s="1">
        <v>45</v>
      </c>
      <c r="H16" s="1">
        <v>550</v>
      </c>
      <c r="I16">
        <f t="shared" si="0"/>
        <v>24750</v>
      </c>
      <c r="J16" s="4">
        <v>46073</v>
      </c>
      <c r="K16" s="4">
        <v>46072</v>
      </c>
      <c r="L16" t="s">
        <v>81</v>
      </c>
      <c r="M16" t="str">
        <f t="shared" si="1"/>
        <v>On Time</v>
      </c>
    </row>
    <row r="17" spans="1:13" x14ac:dyDescent="0.3">
      <c r="A17" t="s">
        <v>103</v>
      </c>
      <c r="B17" s="3">
        <v>46063</v>
      </c>
      <c r="C17" s="1" t="s">
        <v>3</v>
      </c>
      <c r="D17" t="s">
        <v>4</v>
      </c>
      <c r="E17" s="22" t="s">
        <v>5</v>
      </c>
      <c r="F17" t="s">
        <v>86</v>
      </c>
      <c r="G17" s="1">
        <v>60</v>
      </c>
      <c r="H17" s="1">
        <v>100</v>
      </c>
      <c r="I17">
        <f t="shared" si="0"/>
        <v>6000</v>
      </c>
      <c r="J17" s="4">
        <v>46078</v>
      </c>
      <c r="K17" s="4">
        <v>46080</v>
      </c>
      <c r="L17" t="s">
        <v>84</v>
      </c>
      <c r="M17" t="str">
        <f t="shared" si="1"/>
        <v>Late</v>
      </c>
    </row>
    <row r="18" spans="1:13" x14ac:dyDescent="0.3">
      <c r="A18" t="s">
        <v>104</v>
      </c>
      <c r="B18" s="3">
        <v>46066</v>
      </c>
      <c r="C18" s="1" t="s">
        <v>6</v>
      </c>
      <c r="D18" t="s">
        <v>7</v>
      </c>
      <c r="E18" s="22" t="s">
        <v>8</v>
      </c>
      <c r="F18" t="s">
        <v>83</v>
      </c>
      <c r="G18" s="1">
        <v>7</v>
      </c>
      <c r="H18" s="1">
        <v>11000</v>
      </c>
      <c r="I18">
        <f t="shared" si="0"/>
        <v>77000</v>
      </c>
      <c r="J18" s="4">
        <v>46081</v>
      </c>
      <c r="K18" s="4">
        <v>46080</v>
      </c>
      <c r="L18" t="s">
        <v>81</v>
      </c>
      <c r="M18" t="str">
        <f t="shared" si="1"/>
        <v>On Time</v>
      </c>
    </row>
    <row r="19" spans="1:13" x14ac:dyDescent="0.3">
      <c r="A19" t="s">
        <v>105</v>
      </c>
      <c r="B19" s="3">
        <v>46069</v>
      </c>
      <c r="C19" s="1" t="s">
        <v>9</v>
      </c>
      <c r="D19" t="s">
        <v>10</v>
      </c>
      <c r="E19" s="22" t="s">
        <v>11</v>
      </c>
      <c r="F19" t="s">
        <v>80</v>
      </c>
      <c r="G19" s="1">
        <v>15</v>
      </c>
      <c r="H19" s="1">
        <v>900</v>
      </c>
      <c r="I19">
        <f t="shared" si="0"/>
        <v>13500</v>
      </c>
      <c r="J19" s="4">
        <v>46084</v>
      </c>
      <c r="K19" s="4">
        <v>46086</v>
      </c>
      <c r="L19" t="s">
        <v>89</v>
      </c>
      <c r="M19" t="str">
        <f t="shared" si="1"/>
        <v>Late</v>
      </c>
    </row>
    <row r="20" spans="1:13" x14ac:dyDescent="0.3">
      <c r="A20" t="s">
        <v>106</v>
      </c>
      <c r="B20" s="3">
        <v>46072</v>
      </c>
      <c r="C20" s="1" t="s">
        <v>12</v>
      </c>
      <c r="D20" t="s">
        <v>13</v>
      </c>
      <c r="E20" s="22" t="s">
        <v>14</v>
      </c>
      <c r="F20" t="s">
        <v>88</v>
      </c>
      <c r="G20" s="1">
        <v>2</v>
      </c>
      <c r="H20" s="1">
        <v>30000</v>
      </c>
      <c r="I20">
        <f t="shared" si="0"/>
        <v>60000</v>
      </c>
      <c r="J20" s="4">
        <v>46086</v>
      </c>
      <c r="K20" s="4">
        <v>46085</v>
      </c>
      <c r="L20" t="s">
        <v>81</v>
      </c>
      <c r="M20" t="str">
        <f t="shared" si="1"/>
        <v>On Time</v>
      </c>
    </row>
    <row r="21" spans="1:13" x14ac:dyDescent="0.3">
      <c r="A21" t="s">
        <v>107</v>
      </c>
      <c r="B21" s="3">
        <v>46075</v>
      </c>
      <c r="C21" s="1" t="s">
        <v>15</v>
      </c>
      <c r="D21" t="s">
        <v>16</v>
      </c>
      <c r="E21" s="22" t="s">
        <v>5</v>
      </c>
      <c r="F21" t="s">
        <v>92</v>
      </c>
      <c r="G21" s="1">
        <v>5</v>
      </c>
      <c r="H21" s="1">
        <v>20000</v>
      </c>
      <c r="I21">
        <f t="shared" si="0"/>
        <v>100000</v>
      </c>
      <c r="J21" s="4">
        <v>46089</v>
      </c>
      <c r="K21" s="4">
        <v>46091</v>
      </c>
      <c r="L21" t="s">
        <v>84</v>
      </c>
      <c r="M21" t="str">
        <f t="shared" si="1"/>
        <v>Late</v>
      </c>
    </row>
    <row r="22" spans="1:13" x14ac:dyDescent="0.3">
      <c r="A22" t="s">
        <v>116</v>
      </c>
      <c r="B22" s="3">
        <v>46078</v>
      </c>
      <c r="C22" s="1" t="s">
        <v>3</v>
      </c>
      <c r="D22" t="s">
        <v>4</v>
      </c>
      <c r="E22" s="22" t="s">
        <v>5</v>
      </c>
      <c r="F22" t="s">
        <v>80</v>
      </c>
      <c r="G22" s="1">
        <v>20</v>
      </c>
      <c r="H22" s="1">
        <v>500</v>
      </c>
      <c r="I22" s="21">
        <v>10000</v>
      </c>
      <c r="J22" s="4">
        <v>46086</v>
      </c>
      <c r="K22" s="4">
        <v>46085</v>
      </c>
      <c r="L22" t="s">
        <v>81</v>
      </c>
      <c r="M22" s="21" t="s">
        <v>117</v>
      </c>
    </row>
    <row r="23" spans="1:13" x14ac:dyDescent="0.3">
      <c r="A23" t="s">
        <v>118</v>
      </c>
      <c r="B23" s="3">
        <v>46080</v>
      </c>
      <c r="C23" s="1" t="s">
        <v>6</v>
      </c>
      <c r="D23" t="s">
        <v>7</v>
      </c>
      <c r="E23" s="22" t="s">
        <v>8</v>
      </c>
      <c r="F23" t="s">
        <v>83</v>
      </c>
      <c r="G23" s="1">
        <v>6</v>
      </c>
      <c r="H23" s="1">
        <v>12600</v>
      </c>
      <c r="I23" s="21">
        <v>75600</v>
      </c>
      <c r="J23" s="4">
        <v>46089</v>
      </c>
      <c r="K23" s="4">
        <v>46092</v>
      </c>
      <c r="L23" t="s">
        <v>84</v>
      </c>
      <c r="M23" s="21" t="s">
        <v>119</v>
      </c>
    </row>
    <row r="24" spans="1:13" x14ac:dyDescent="0.3">
      <c r="A24" t="s">
        <v>120</v>
      </c>
      <c r="B24" s="3">
        <v>46082</v>
      </c>
      <c r="C24" s="1" t="s">
        <v>9</v>
      </c>
      <c r="D24" t="s">
        <v>10</v>
      </c>
      <c r="E24" s="22" t="s">
        <v>11</v>
      </c>
      <c r="F24" t="s">
        <v>86</v>
      </c>
      <c r="G24" s="1">
        <v>52</v>
      </c>
      <c r="H24" s="1">
        <v>170</v>
      </c>
      <c r="I24" s="21">
        <v>8840</v>
      </c>
      <c r="J24" s="4">
        <v>46092</v>
      </c>
      <c r="K24" s="4">
        <v>46096</v>
      </c>
      <c r="L24" t="s">
        <v>89</v>
      </c>
      <c r="M24" s="21" t="s">
        <v>119</v>
      </c>
    </row>
    <row r="25" spans="1:13" x14ac:dyDescent="0.3">
      <c r="A25" t="s">
        <v>121</v>
      </c>
      <c r="B25" s="3">
        <v>46084</v>
      </c>
      <c r="C25" s="1" t="s">
        <v>12</v>
      </c>
      <c r="D25" t="s">
        <v>13</v>
      </c>
      <c r="E25" s="22" t="s">
        <v>14</v>
      </c>
      <c r="F25" t="s">
        <v>88</v>
      </c>
      <c r="G25" s="1">
        <v>5</v>
      </c>
      <c r="H25" s="1">
        <v>28750</v>
      </c>
      <c r="I25" s="21">
        <v>143750</v>
      </c>
      <c r="J25" s="4">
        <v>46095</v>
      </c>
      <c r="K25" s="4">
        <v>46094</v>
      </c>
      <c r="L25" t="s">
        <v>81</v>
      </c>
      <c r="M25" s="21" t="s">
        <v>117</v>
      </c>
    </row>
    <row r="26" spans="1:13" x14ac:dyDescent="0.3">
      <c r="A26" t="s">
        <v>122</v>
      </c>
      <c r="B26" s="3">
        <v>46086</v>
      </c>
      <c r="C26" s="1" t="s">
        <v>15</v>
      </c>
      <c r="D26" t="s">
        <v>16</v>
      </c>
      <c r="E26" s="22" t="s">
        <v>5</v>
      </c>
      <c r="F26" t="s">
        <v>92</v>
      </c>
      <c r="G26" s="1">
        <v>9</v>
      </c>
      <c r="H26" s="1">
        <v>21600</v>
      </c>
      <c r="I26" s="21">
        <v>194400</v>
      </c>
      <c r="J26" s="4">
        <v>46098</v>
      </c>
      <c r="K26" s="4">
        <v>46101</v>
      </c>
      <c r="L26" t="s">
        <v>84</v>
      </c>
      <c r="M26" s="21" t="s">
        <v>119</v>
      </c>
    </row>
    <row r="27" spans="1:13" x14ac:dyDescent="0.3">
      <c r="A27" t="s">
        <v>123</v>
      </c>
      <c r="B27" s="3">
        <v>46088</v>
      </c>
      <c r="C27" s="1" t="s">
        <v>17</v>
      </c>
      <c r="D27" t="s">
        <v>18</v>
      </c>
      <c r="E27" s="22" t="s">
        <v>19</v>
      </c>
      <c r="F27" t="s">
        <v>95</v>
      </c>
      <c r="G27" s="1">
        <v>35</v>
      </c>
      <c r="H27" s="1">
        <v>375</v>
      </c>
      <c r="I27" s="21">
        <v>13125</v>
      </c>
      <c r="J27" s="4">
        <v>46100</v>
      </c>
      <c r="K27" s="4">
        <v>46104</v>
      </c>
      <c r="L27" t="s">
        <v>81</v>
      </c>
      <c r="M27" s="21" t="s">
        <v>119</v>
      </c>
    </row>
    <row r="28" spans="1:13" x14ac:dyDescent="0.3">
      <c r="A28" t="s">
        <v>124</v>
      </c>
      <c r="B28" s="3">
        <v>46090</v>
      </c>
      <c r="C28" s="1" t="s">
        <v>20</v>
      </c>
      <c r="D28" t="s">
        <v>21</v>
      </c>
      <c r="E28" s="22" t="s">
        <v>22</v>
      </c>
      <c r="F28" t="s">
        <v>80</v>
      </c>
      <c r="G28" s="1">
        <v>26</v>
      </c>
      <c r="H28" s="1">
        <v>525</v>
      </c>
      <c r="I28" s="21">
        <v>13650</v>
      </c>
      <c r="J28" s="4">
        <v>46098</v>
      </c>
      <c r="K28" s="4">
        <v>46097</v>
      </c>
      <c r="L28" t="s">
        <v>89</v>
      </c>
      <c r="M28" s="21" t="s">
        <v>117</v>
      </c>
    </row>
    <row r="29" spans="1:13" x14ac:dyDescent="0.3">
      <c r="A29" t="s">
        <v>125</v>
      </c>
      <c r="B29" s="3">
        <v>46092</v>
      </c>
      <c r="C29" s="1" t="s">
        <v>23</v>
      </c>
      <c r="D29" t="s">
        <v>24</v>
      </c>
      <c r="E29" s="22" t="s">
        <v>25</v>
      </c>
      <c r="F29" t="s">
        <v>83</v>
      </c>
      <c r="G29" s="1">
        <v>6</v>
      </c>
      <c r="H29" s="1">
        <v>13200</v>
      </c>
      <c r="I29" s="21">
        <v>79200</v>
      </c>
      <c r="J29" s="4">
        <v>46101</v>
      </c>
      <c r="K29" s="4">
        <v>46104</v>
      </c>
      <c r="L29" t="s">
        <v>84</v>
      </c>
      <c r="M29" s="21" t="s">
        <v>119</v>
      </c>
    </row>
    <row r="30" spans="1:13" x14ac:dyDescent="0.3">
      <c r="A30" t="s">
        <v>126</v>
      </c>
      <c r="B30" s="3">
        <v>46094</v>
      </c>
      <c r="C30" s="1" t="s">
        <v>26</v>
      </c>
      <c r="D30" t="s">
        <v>27</v>
      </c>
      <c r="E30" s="22" t="s">
        <v>5</v>
      </c>
      <c r="F30" t="s">
        <v>86</v>
      </c>
      <c r="G30" s="1">
        <v>58</v>
      </c>
      <c r="H30" s="1">
        <v>180</v>
      </c>
      <c r="I30" s="21">
        <v>10440</v>
      </c>
      <c r="J30" s="4">
        <v>46104</v>
      </c>
      <c r="K30" s="4">
        <v>46108</v>
      </c>
      <c r="L30" t="s">
        <v>81</v>
      </c>
      <c r="M30" s="21" t="s">
        <v>119</v>
      </c>
    </row>
    <row r="31" spans="1:13" x14ac:dyDescent="0.3">
      <c r="A31" t="s">
        <v>127</v>
      </c>
      <c r="B31" s="3">
        <v>46096</v>
      </c>
      <c r="C31" s="1" t="s">
        <v>28</v>
      </c>
      <c r="D31" t="s">
        <v>29</v>
      </c>
      <c r="E31" s="22" t="s">
        <v>30</v>
      </c>
      <c r="F31" t="s">
        <v>88</v>
      </c>
      <c r="G31" s="1">
        <v>2</v>
      </c>
      <c r="H31" s="1">
        <v>30000</v>
      </c>
      <c r="I31" s="21">
        <v>60000</v>
      </c>
      <c r="J31" s="4">
        <v>46104</v>
      </c>
      <c r="K31" s="4">
        <v>46103</v>
      </c>
      <c r="L31" t="s">
        <v>84</v>
      </c>
      <c r="M31" s="21" t="s">
        <v>117</v>
      </c>
    </row>
    <row r="32" spans="1:13" x14ac:dyDescent="0.3">
      <c r="A32" t="s">
        <v>128</v>
      </c>
      <c r="B32" s="3">
        <v>46098</v>
      </c>
      <c r="C32" s="1" t="s">
        <v>31</v>
      </c>
      <c r="D32" t="s">
        <v>32</v>
      </c>
      <c r="E32" s="22" t="s">
        <v>33</v>
      </c>
      <c r="F32" t="s">
        <v>92</v>
      </c>
      <c r="G32" s="1">
        <v>7</v>
      </c>
      <c r="H32" s="1">
        <v>23400</v>
      </c>
      <c r="I32" s="21">
        <v>163800</v>
      </c>
      <c r="J32" s="4">
        <v>46108</v>
      </c>
      <c r="K32" s="4">
        <v>46111</v>
      </c>
      <c r="L32" t="s">
        <v>81</v>
      </c>
      <c r="M32" s="21" t="s">
        <v>119</v>
      </c>
    </row>
    <row r="33" spans="1:13" x14ac:dyDescent="0.3">
      <c r="A33" t="s">
        <v>129</v>
      </c>
      <c r="B33" s="3">
        <v>46100</v>
      </c>
      <c r="C33" s="1" t="s">
        <v>34</v>
      </c>
      <c r="D33" t="s">
        <v>35</v>
      </c>
      <c r="E33" s="22" t="s">
        <v>8</v>
      </c>
      <c r="F33" t="s">
        <v>95</v>
      </c>
      <c r="G33" s="1">
        <v>45</v>
      </c>
      <c r="H33" s="1">
        <v>315</v>
      </c>
      <c r="I33" s="21">
        <v>14175</v>
      </c>
      <c r="J33" s="4">
        <v>46111</v>
      </c>
      <c r="K33" s="4">
        <v>46115</v>
      </c>
      <c r="L33" t="s">
        <v>89</v>
      </c>
      <c r="M33" s="21" t="s">
        <v>119</v>
      </c>
    </row>
    <row r="34" spans="1:13" x14ac:dyDescent="0.3">
      <c r="A34" t="s">
        <v>130</v>
      </c>
      <c r="B34" s="3">
        <v>46102</v>
      </c>
      <c r="C34" s="1" t="s">
        <v>36</v>
      </c>
      <c r="D34" t="s">
        <v>37</v>
      </c>
      <c r="E34" s="22" t="s">
        <v>11</v>
      </c>
      <c r="F34" t="s">
        <v>80</v>
      </c>
      <c r="G34" s="1">
        <v>21</v>
      </c>
      <c r="H34" s="1">
        <v>650</v>
      </c>
      <c r="I34" s="21">
        <v>13650</v>
      </c>
      <c r="J34" s="4">
        <v>46111</v>
      </c>
      <c r="K34" s="4">
        <v>46110</v>
      </c>
      <c r="L34" t="s">
        <v>84</v>
      </c>
      <c r="M34" s="21" t="s">
        <v>117</v>
      </c>
    </row>
    <row r="35" spans="1:13" x14ac:dyDescent="0.3">
      <c r="A35" t="s">
        <v>131</v>
      </c>
      <c r="B35" s="3">
        <v>46104</v>
      </c>
      <c r="C35" s="1" t="s">
        <v>38</v>
      </c>
      <c r="D35" t="s">
        <v>39</v>
      </c>
      <c r="E35" s="22" t="s">
        <v>22</v>
      </c>
      <c r="F35" t="s">
        <v>83</v>
      </c>
      <c r="G35" s="1">
        <v>7</v>
      </c>
      <c r="H35" s="1">
        <v>14400</v>
      </c>
      <c r="I35" s="21">
        <v>100800</v>
      </c>
      <c r="J35" s="4">
        <v>46114</v>
      </c>
      <c r="K35" s="4">
        <v>46117</v>
      </c>
      <c r="L35" t="s">
        <v>81</v>
      </c>
      <c r="M35" s="21" t="s">
        <v>119</v>
      </c>
    </row>
    <row r="36" spans="1:13" x14ac:dyDescent="0.3">
      <c r="A36" t="s">
        <v>132</v>
      </c>
      <c r="B36" s="3">
        <v>46106</v>
      </c>
      <c r="C36" s="1" t="s">
        <v>40</v>
      </c>
      <c r="D36" t="s">
        <v>41</v>
      </c>
      <c r="E36" s="22" t="s">
        <v>14</v>
      </c>
      <c r="F36" t="s">
        <v>86</v>
      </c>
      <c r="G36" s="1">
        <v>62</v>
      </c>
      <c r="H36" s="1">
        <v>190</v>
      </c>
      <c r="I36" s="21">
        <v>11780</v>
      </c>
      <c r="J36" s="4">
        <v>46117</v>
      </c>
      <c r="K36" s="4">
        <v>46121</v>
      </c>
      <c r="L36" t="s">
        <v>84</v>
      </c>
      <c r="M36" s="21" t="s">
        <v>119</v>
      </c>
    </row>
    <row r="37" spans="1:13" x14ac:dyDescent="0.3">
      <c r="A37" t="s">
        <v>133</v>
      </c>
      <c r="B37" s="3">
        <v>46108</v>
      </c>
      <c r="C37" s="1" t="s">
        <v>3</v>
      </c>
      <c r="D37" t="s">
        <v>4</v>
      </c>
      <c r="E37" s="22" t="s">
        <v>5</v>
      </c>
      <c r="F37" t="s">
        <v>88</v>
      </c>
      <c r="G37" s="1">
        <v>3</v>
      </c>
      <c r="H37" s="1">
        <v>31250</v>
      </c>
      <c r="I37" s="21">
        <v>93750</v>
      </c>
      <c r="J37" s="4">
        <v>46118</v>
      </c>
      <c r="K37" s="4">
        <v>46117</v>
      </c>
      <c r="L37" t="s">
        <v>81</v>
      </c>
      <c r="M37" s="21" t="s">
        <v>117</v>
      </c>
    </row>
    <row r="38" spans="1:13" x14ac:dyDescent="0.3">
      <c r="A38" t="s">
        <v>134</v>
      </c>
      <c r="B38" s="3">
        <v>46110</v>
      </c>
      <c r="C38" s="1" t="s">
        <v>6</v>
      </c>
      <c r="D38" t="s">
        <v>7</v>
      </c>
      <c r="E38" s="22" t="s">
        <v>8</v>
      </c>
      <c r="F38" t="s">
        <v>92</v>
      </c>
      <c r="G38" s="1">
        <v>7</v>
      </c>
      <c r="H38" s="1">
        <v>25200</v>
      </c>
      <c r="I38" s="21">
        <v>176400</v>
      </c>
      <c r="J38" s="4">
        <v>46120</v>
      </c>
      <c r="K38" s="4">
        <v>46123</v>
      </c>
      <c r="L38" t="s">
        <v>89</v>
      </c>
      <c r="M38" s="21" t="s">
        <v>119</v>
      </c>
    </row>
    <row r="39" spans="1:13" x14ac:dyDescent="0.3">
      <c r="A39" t="s">
        <v>135</v>
      </c>
      <c r="B39" s="3">
        <v>46112</v>
      </c>
      <c r="C39" s="1" t="s">
        <v>9</v>
      </c>
      <c r="D39" t="s">
        <v>10</v>
      </c>
      <c r="E39" s="22" t="s">
        <v>11</v>
      </c>
      <c r="F39" t="s">
        <v>95</v>
      </c>
      <c r="G39" s="1">
        <v>31</v>
      </c>
      <c r="H39" s="1">
        <v>330</v>
      </c>
      <c r="I39" s="21">
        <v>10230</v>
      </c>
      <c r="J39" s="4">
        <v>46123</v>
      </c>
      <c r="K39" s="4">
        <v>46127</v>
      </c>
      <c r="L39" t="s">
        <v>84</v>
      </c>
      <c r="M39" s="21" t="s">
        <v>119</v>
      </c>
    </row>
    <row r="40" spans="1:13" x14ac:dyDescent="0.3">
      <c r="A40" t="s">
        <v>136</v>
      </c>
      <c r="B40" s="3">
        <v>46114</v>
      </c>
      <c r="C40" s="1" t="s">
        <v>12</v>
      </c>
      <c r="D40" t="s">
        <v>13</v>
      </c>
      <c r="E40" s="22" t="s">
        <v>14</v>
      </c>
      <c r="F40" t="s">
        <v>80</v>
      </c>
      <c r="G40" s="1">
        <v>24</v>
      </c>
      <c r="H40" s="1">
        <v>575</v>
      </c>
      <c r="I40" s="21">
        <v>13800</v>
      </c>
      <c r="J40" s="4">
        <v>46124</v>
      </c>
      <c r="K40" s="4">
        <v>46123</v>
      </c>
      <c r="L40" t="s">
        <v>81</v>
      </c>
      <c r="M40" s="21" t="s">
        <v>117</v>
      </c>
    </row>
    <row r="41" spans="1:13" x14ac:dyDescent="0.3">
      <c r="A41" t="s">
        <v>137</v>
      </c>
      <c r="B41" s="3">
        <v>46116</v>
      </c>
      <c r="C41" s="1" t="s">
        <v>15</v>
      </c>
      <c r="D41" t="s">
        <v>16</v>
      </c>
      <c r="E41" s="22" t="s">
        <v>5</v>
      </c>
      <c r="F41" t="s">
        <v>83</v>
      </c>
      <c r="G41" s="1">
        <v>8</v>
      </c>
      <c r="H41" s="1">
        <v>12000</v>
      </c>
      <c r="I41" s="21">
        <v>96000</v>
      </c>
      <c r="J41" s="4">
        <v>46126</v>
      </c>
      <c r="K41" s="4">
        <v>46129</v>
      </c>
      <c r="L41" t="s">
        <v>84</v>
      </c>
      <c r="M41" s="21" t="s">
        <v>119</v>
      </c>
    </row>
    <row r="42" spans="1:13" x14ac:dyDescent="0.3">
      <c r="A42" t="s">
        <v>138</v>
      </c>
      <c r="B42" s="3">
        <v>46118</v>
      </c>
      <c r="C42" s="1" t="s">
        <v>17</v>
      </c>
      <c r="D42" t="s">
        <v>18</v>
      </c>
      <c r="E42" s="22" t="s">
        <v>19</v>
      </c>
      <c r="F42" t="s">
        <v>86</v>
      </c>
      <c r="G42" s="1">
        <v>55</v>
      </c>
      <c r="H42" s="1">
        <v>160</v>
      </c>
      <c r="I42" s="21">
        <v>8800</v>
      </c>
      <c r="J42" s="4">
        <v>46126</v>
      </c>
      <c r="K42" s="4">
        <v>46130</v>
      </c>
      <c r="L42" t="s">
        <v>81</v>
      </c>
      <c r="M42" s="21" t="s">
        <v>119</v>
      </c>
    </row>
    <row r="43" spans="1:13" x14ac:dyDescent="0.3">
      <c r="A43" t="s">
        <v>139</v>
      </c>
      <c r="B43" s="3">
        <v>46120</v>
      </c>
      <c r="C43" s="1" t="s">
        <v>20</v>
      </c>
      <c r="D43" t="s">
        <v>21</v>
      </c>
      <c r="E43" s="22" t="s">
        <v>22</v>
      </c>
      <c r="F43" t="s">
        <v>88</v>
      </c>
      <c r="G43" s="1">
        <v>4</v>
      </c>
      <c r="H43" s="1">
        <v>26250</v>
      </c>
      <c r="I43" s="21">
        <v>105000</v>
      </c>
      <c r="J43" s="4">
        <v>46129</v>
      </c>
      <c r="K43" s="4">
        <v>46128</v>
      </c>
      <c r="L43" t="s">
        <v>89</v>
      </c>
      <c r="M43" s="21" t="s">
        <v>117</v>
      </c>
    </row>
    <row r="44" spans="1:13" x14ac:dyDescent="0.3">
      <c r="A44" t="s">
        <v>140</v>
      </c>
      <c r="B44" s="3">
        <v>46122</v>
      </c>
      <c r="C44" s="1" t="s">
        <v>23</v>
      </c>
      <c r="D44" t="s">
        <v>24</v>
      </c>
      <c r="E44" s="22" t="s">
        <v>25</v>
      </c>
      <c r="F44" t="s">
        <v>92</v>
      </c>
      <c r="G44" s="1">
        <v>10</v>
      </c>
      <c r="H44" s="1">
        <v>19800</v>
      </c>
      <c r="I44" s="21">
        <v>198000</v>
      </c>
      <c r="J44" s="4">
        <v>46133</v>
      </c>
      <c r="K44" s="4">
        <v>46136</v>
      </c>
      <c r="L44" t="s">
        <v>84</v>
      </c>
      <c r="M44" s="21" t="s">
        <v>119</v>
      </c>
    </row>
    <row r="45" spans="1:13" x14ac:dyDescent="0.3">
      <c r="A45" t="s">
        <v>141</v>
      </c>
      <c r="B45" s="3">
        <v>46124</v>
      </c>
      <c r="C45" s="1" t="s">
        <v>26</v>
      </c>
      <c r="D45" t="s">
        <v>27</v>
      </c>
      <c r="E45" s="22" t="s">
        <v>5</v>
      </c>
      <c r="F45" t="s">
        <v>95</v>
      </c>
      <c r="G45" s="1">
        <v>34</v>
      </c>
      <c r="H45" s="1">
        <v>345</v>
      </c>
      <c r="I45" s="21">
        <v>11730</v>
      </c>
      <c r="J45" s="4">
        <v>46133</v>
      </c>
      <c r="K45" s="4">
        <v>46137</v>
      </c>
      <c r="L45" t="s">
        <v>81</v>
      </c>
      <c r="M45" s="21" t="s">
        <v>119</v>
      </c>
    </row>
    <row r="46" spans="1:13" x14ac:dyDescent="0.3">
      <c r="A46" t="s">
        <v>142</v>
      </c>
      <c r="B46" s="3">
        <v>46126</v>
      </c>
      <c r="C46" s="1" t="s">
        <v>28</v>
      </c>
      <c r="D46" t="s">
        <v>29</v>
      </c>
      <c r="E46" s="22" t="s">
        <v>30</v>
      </c>
      <c r="F46" t="s">
        <v>80</v>
      </c>
      <c r="G46" s="1">
        <v>28</v>
      </c>
      <c r="H46" s="1">
        <v>600</v>
      </c>
      <c r="I46" s="21">
        <v>16800</v>
      </c>
      <c r="J46" s="4">
        <v>46136</v>
      </c>
      <c r="K46" s="4">
        <v>46135</v>
      </c>
      <c r="L46" t="s">
        <v>84</v>
      </c>
      <c r="M46" s="21" t="s">
        <v>117</v>
      </c>
    </row>
    <row r="47" spans="1:13" x14ac:dyDescent="0.3">
      <c r="A47" t="s">
        <v>143</v>
      </c>
      <c r="B47" s="3">
        <v>46128</v>
      </c>
      <c r="C47" s="1" t="s">
        <v>31</v>
      </c>
      <c r="D47" t="s">
        <v>32</v>
      </c>
      <c r="E47" s="22" t="s">
        <v>33</v>
      </c>
      <c r="F47" t="s">
        <v>83</v>
      </c>
      <c r="G47" s="1">
        <v>10</v>
      </c>
      <c r="H47" s="1">
        <v>12600</v>
      </c>
      <c r="I47" s="21">
        <v>126000</v>
      </c>
      <c r="J47" s="4">
        <v>46139</v>
      </c>
      <c r="K47" s="4">
        <v>46142</v>
      </c>
      <c r="L47" t="s">
        <v>81</v>
      </c>
      <c r="M47" s="21" t="s">
        <v>119</v>
      </c>
    </row>
    <row r="48" spans="1:13" x14ac:dyDescent="0.3">
      <c r="A48" t="s">
        <v>144</v>
      </c>
      <c r="B48" s="3">
        <v>46130</v>
      </c>
      <c r="C48" s="1" t="s">
        <v>34</v>
      </c>
      <c r="D48" t="s">
        <v>35</v>
      </c>
      <c r="E48" s="22" t="s">
        <v>8</v>
      </c>
      <c r="F48" t="s">
        <v>86</v>
      </c>
      <c r="G48" s="1">
        <v>60</v>
      </c>
      <c r="H48" s="1">
        <v>170</v>
      </c>
      <c r="I48" s="21">
        <v>10200</v>
      </c>
      <c r="J48" s="4">
        <v>46139</v>
      </c>
      <c r="K48" s="4">
        <v>46143</v>
      </c>
      <c r="L48" t="s">
        <v>89</v>
      </c>
      <c r="M48" s="21" t="s">
        <v>119</v>
      </c>
    </row>
    <row r="49" spans="1:13" x14ac:dyDescent="0.3">
      <c r="A49" t="s">
        <v>145</v>
      </c>
      <c r="B49" s="3">
        <v>46132</v>
      </c>
      <c r="C49" s="1" t="s">
        <v>36</v>
      </c>
      <c r="D49" t="s">
        <v>37</v>
      </c>
      <c r="E49" s="22" t="s">
        <v>11</v>
      </c>
      <c r="F49" t="s">
        <v>88</v>
      </c>
      <c r="G49" s="1">
        <v>5</v>
      </c>
      <c r="H49" s="1">
        <v>30000</v>
      </c>
      <c r="I49" s="21">
        <v>150000</v>
      </c>
      <c r="J49" s="4">
        <v>46143</v>
      </c>
      <c r="K49" s="4">
        <v>46142</v>
      </c>
      <c r="L49" t="s">
        <v>84</v>
      </c>
      <c r="M49" s="21" t="s">
        <v>117</v>
      </c>
    </row>
    <row r="50" spans="1:13" x14ac:dyDescent="0.3">
      <c r="A50" t="s">
        <v>146</v>
      </c>
      <c r="B50" s="3">
        <v>46134</v>
      </c>
      <c r="C50" s="1" t="s">
        <v>38</v>
      </c>
      <c r="D50" t="s">
        <v>39</v>
      </c>
      <c r="E50" s="22" t="s">
        <v>22</v>
      </c>
      <c r="F50" t="s">
        <v>92</v>
      </c>
      <c r="G50" s="1">
        <v>6</v>
      </c>
      <c r="H50" s="1">
        <v>22500</v>
      </c>
      <c r="I50" s="21">
        <v>135000</v>
      </c>
      <c r="J50" s="4">
        <v>46144</v>
      </c>
      <c r="K50" s="4">
        <v>46147</v>
      </c>
      <c r="L50" t="s">
        <v>81</v>
      </c>
      <c r="M50" s="21" t="s">
        <v>119</v>
      </c>
    </row>
    <row r="51" spans="1:13" x14ac:dyDescent="0.3">
      <c r="A51" t="s">
        <v>147</v>
      </c>
      <c r="B51" s="3">
        <v>46136</v>
      </c>
      <c r="C51" s="1" t="s">
        <v>40</v>
      </c>
      <c r="D51" t="s">
        <v>41</v>
      </c>
      <c r="E51" s="22" t="s">
        <v>14</v>
      </c>
      <c r="F51" t="s">
        <v>95</v>
      </c>
      <c r="G51" s="1">
        <v>39</v>
      </c>
      <c r="H51" s="1">
        <v>375</v>
      </c>
      <c r="I51" s="21">
        <v>14625</v>
      </c>
      <c r="J51" s="4">
        <v>46147</v>
      </c>
      <c r="K51" s="4">
        <v>46151</v>
      </c>
      <c r="L51" t="s">
        <v>84</v>
      </c>
      <c r="M51" s="21" t="s">
        <v>119</v>
      </c>
    </row>
    <row r="52" spans="1:13" x14ac:dyDescent="0.3">
      <c r="A52" t="s">
        <v>148</v>
      </c>
      <c r="B52" s="3">
        <v>46138</v>
      </c>
      <c r="C52" s="1" t="s">
        <v>3</v>
      </c>
      <c r="D52" t="s">
        <v>4</v>
      </c>
      <c r="E52" s="22" t="s">
        <v>5</v>
      </c>
      <c r="F52" t="s">
        <v>80</v>
      </c>
      <c r="G52" s="1">
        <v>30</v>
      </c>
      <c r="H52" s="1">
        <v>650</v>
      </c>
      <c r="I52" s="21">
        <v>19500</v>
      </c>
      <c r="J52" s="4">
        <v>46147</v>
      </c>
      <c r="K52" s="4">
        <v>46146</v>
      </c>
      <c r="L52" t="s">
        <v>81</v>
      </c>
      <c r="M52" s="21" t="s">
        <v>117</v>
      </c>
    </row>
    <row r="53" spans="1:13" x14ac:dyDescent="0.3">
      <c r="A53" t="s">
        <v>149</v>
      </c>
      <c r="B53" s="3">
        <v>46140</v>
      </c>
      <c r="C53" s="1" t="s">
        <v>6</v>
      </c>
      <c r="D53" t="s">
        <v>7</v>
      </c>
      <c r="E53" s="22" t="s">
        <v>8</v>
      </c>
      <c r="F53" t="s">
        <v>83</v>
      </c>
      <c r="G53" s="1">
        <v>5</v>
      </c>
      <c r="H53" s="1">
        <v>13800</v>
      </c>
      <c r="I53" s="21">
        <v>69000</v>
      </c>
      <c r="J53" s="4">
        <v>46150</v>
      </c>
      <c r="K53" s="4">
        <v>46153</v>
      </c>
      <c r="L53" t="s">
        <v>89</v>
      </c>
      <c r="M53" s="21" t="s">
        <v>119</v>
      </c>
    </row>
    <row r="54" spans="1:13" x14ac:dyDescent="0.3">
      <c r="A54" t="s">
        <v>150</v>
      </c>
      <c r="B54" s="3">
        <v>46142</v>
      </c>
      <c r="C54" s="1" t="s">
        <v>9</v>
      </c>
      <c r="D54" t="s">
        <v>10</v>
      </c>
      <c r="E54" s="22" t="s">
        <v>11</v>
      </c>
      <c r="F54" t="s">
        <v>86</v>
      </c>
      <c r="G54" s="1">
        <v>63</v>
      </c>
      <c r="H54" s="1">
        <v>180</v>
      </c>
      <c r="I54" s="21">
        <v>11340</v>
      </c>
      <c r="J54" s="4">
        <v>46152</v>
      </c>
      <c r="K54" s="4">
        <v>46156</v>
      </c>
      <c r="L54" t="s">
        <v>84</v>
      </c>
      <c r="M54" s="21" t="s">
        <v>119</v>
      </c>
    </row>
    <row r="55" spans="1:13" x14ac:dyDescent="0.3">
      <c r="A55" t="s">
        <v>151</v>
      </c>
      <c r="B55" s="3">
        <v>46144</v>
      </c>
      <c r="C55" s="1" t="s">
        <v>12</v>
      </c>
      <c r="D55" t="s">
        <v>13</v>
      </c>
      <c r="E55" s="22" t="s">
        <v>14</v>
      </c>
      <c r="F55" t="s">
        <v>88</v>
      </c>
      <c r="G55" s="1">
        <v>6</v>
      </c>
      <c r="H55" s="1">
        <v>27500</v>
      </c>
      <c r="I55" s="21">
        <v>165000</v>
      </c>
      <c r="J55" s="4">
        <v>46154</v>
      </c>
      <c r="K55" s="4">
        <v>46153</v>
      </c>
      <c r="L55" t="s">
        <v>81</v>
      </c>
      <c r="M55" s="21" t="s">
        <v>117</v>
      </c>
    </row>
    <row r="56" spans="1:13" x14ac:dyDescent="0.3">
      <c r="A56" t="s">
        <v>152</v>
      </c>
      <c r="B56" s="3">
        <v>46146</v>
      </c>
      <c r="C56" s="1" t="s">
        <v>15</v>
      </c>
      <c r="D56" t="s">
        <v>16</v>
      </c>
      <c r="E56" s="22" t="s">
        <v>5</v>
      </c>
      <c r="F56" t="s">
        <v>92</v>
      </c>
      <c r="G56" s="1">
        <v>12</v>
      </c>
      <c r="H56" s="1">
        <v>21600</v>
      </c>
      <c r="I56" s="21">
        <v>259200</v>
      </c>
      <c r="J56" s="4">
        <v>46157</v>
      </c>
      <c r="K56" s="4">
        <v>46160</v>
      </c>
      <c r="L56" t="s">
        <v>84</v>
      </c>
      <c r="M56" s="21" t="s">
        <v>119</v>
      </c>
    </row>
    <row r="57" spans="1:13" x14ac:dyDescent="0.3">
      <c r="A57" t="s">
        <v>153</v>
      </c>
      <c r="B57" s="3">
        <v>46148</v>
      </c>
      <c r="C57" s="1" t="s">
        <v>17</v>
      </c>
      <c r="D57" t="s">
        <v>18</v>
      </c>
      <c r="E57" s="22" t="s">
        <v>19</v>
      </c>
      <c r="F57" t="s">
        <v>95</v>
      </c>
      <c r="G57" s="1">
        <v>40</v>
      </c>
      <c r="H57" s="1">
        <v>390</v>
      </c>
      <c r="I57" s="21">
        <v>15600</v>
      </c>
      <c r="J57" s="4">
        <v>46159</v>
      </c>
      <c r="K57" s="4">
        <v>46163</v>
      </c>
      <c r="L57" t="s">
        <v>81</v>
      </c>
      <c r="M57" s="21" t="s">
        <v>119</v>
      </c>
    </row>
    <row r="58" spans="1:13" x14ac:dyDescent="0.3">
      <c r="A58" t="s">
        <v>154</v>
      </c>
      <c r="B58" s="3">
        <v>46150</v>
      </c>
      <c r="C58" s="1" t="s">
        <v>20</v>
      </c>
      <c r="D58" t="s">
        <v>21</v>
      </c>
      <c r="E58" s="22" t="s">
        <v>22</v>
      </c>
      <c r="F58" t="s">
        <v>80</v>
      </c>
      <c r="G58" s="1">
        <v>23</v>
      </c>
      <c r="H58" s="1">
        <v>525</v>
      </c>
      <c r="I58" s="21">
        <v>12075</v>
      </c>
      <c r="J58" s="4">
        <v>46158</v>
      </c>
      <c r="K58" s="4">
        <v>46157</v>
      </c>
      <c r="L58" t="s">
        <v>89</v>
      </c>
      <c r="M58" s="21" t="s">
        <v>117</v>
      </c>
    </row>
    <row r="59" spans="1:13" x14ac:dyDescent="0.3">
      <c r="A59" t="s">
        <v>155</v>
      </c>
      <c r="B59" s="3">
        <v>46152</v>
      </c>
      <c r="C59" s="1" t="s">
        <v>23</v>
      </c>
      <c r="D59" t="s">
        <v>24</v>
      </c>
      <c r="E59" s="22" t="s">
        <v>25</v>
      </c>
      <c r="F59" t="s">
        <v>83</v>
      </c>
      <c r="G59" s="1">
        <v>10</v>
      </c>
      <c r="H59" s="1">
        <v>14400</v>
      </c>
      <c r="I59" s="21">
        <v>144000</v>
      </c>
      <c r="J59" s="4">
        <v>46161</v>
      </c>
      <c r="K59" s="4">
        <v>46164</v>
      </c>
      <c r="L59" t="s">
        <v>84</v>
      </c>
      <c r="M59" s="21" t="s">
        <v>119</v>
      </c>
    </row>
    <row r="60" spans="1:13" x14ac:dyDescent="0.3">
      <c r="A60" t="s">
        <v>156</v>
      </c>
      <c r="B60" s="3">
        <v>46154</v>
      </c>
      <c r="C60" s="1" t="s">
        <v>26</v>
      </c>
      <c r="D60" t="s">
        <v>27</v>
      </c>
      <c r="E60" s="22" t="s">
        <v>5</v>
      </c>
      <c r="F60" t="s">
        <v>86</v>
      </c>
      <c r="G60" s="1">
        <v>71</v>
      </c>
      <c r="H60" s="1">
        <v>190</v>
      </c>
      <c r="I60" s="21">
        <v>13490</v>
      </c>
      <c r="J60" s="4">
        <v>46164</v>
      </c>
      <c r="K60" s="4">
        <v>46168</v>
      </c>
      <c r="L60" t="s">
        <v>81</v>
      </c>
      <c r="M60" s="21" t="s">
        <v>119</v>
      </c>
    </row>
    <row r="61" spans="1:13" x14ac:dyDescent="0.3">
      <c r="A61" t="s">
        <v>157</v>
      </c>
      <c r="B61" s="3">
        <v>46156</v>
      </c>
      <c r="C61" s="1" t="s">
        <v>28</v>
      </c>
      <c r="D61" t="s">
        <v>29</v>
      </c>
      <c r="E61" s="22" t="s">
        <v>30</v>
      </c>
      <c r="F61" t="s">
        <v>88</v>
      </c>
      <c r="G61" s="1">
        <v>3</v>
      </c>
      <c r="H61" s="1">
        <v>31250</v>
      </c>
      <c r="I61" s="21">
        <v>93750</v>
      </c>
      <c r="J61" s="4">
        <v>46164</v>
      </c>
      <c r="K61" s="4">
        <v>46163</v>
      </c>
      <c r="L61" t="s">
        <v>84</v>
      </c>
      <c r="M61" s="21" t="s">
        <v>117</v>
      </c>
    </row>
    <row r="62" spans="1:13" x14ac:dyDescent="0.3">
      <c r="A62" t="s">
        <v>158</v>
      </c>
      <c r="B62" s="3">
        <v>46158</v>
      </c>
      <c r="C62" s="1" t="s">
        <v>31</v>
      </c>
      <c r="D62" t="s">
        <v>32</v>
      </c>
      <c r="E62" s="22" t="s">
        <v>33</v>
      </c>
      <c r="F62" t="s">
        <v>92</v>
      </c>
      <c r="G62" s="1">
        <v>8</v>
      </c>
      <c r="H62" s="1">
        <v>24300</v>
      </c>
      <c r="I62" s="21">
        <v>194400</v>
      </c>
      <c r="J62" s="4">
        <v>46168</v>
      </c>
      <c r="K62" s="4">
        <v>46171</v>
      </c>
      <c r="L62" t="s">
        <v>81</v>
      </c>
      <c r="M62" s="21" t="s">
        <v>119</v>
      </c>
    </row>
    <row r="63" spans="1:13" x14ac:dyDescent="0.3">
      <c r="A63" t="s">
        <v>159</v>
      </c>
      <c r="B63" s="3">
        <v>46160</v>
      </c>
      <c r="C63" s="1" t="s">
        <v>34</v>
      </c>
      <c r="D63" t="s">
        <v>35</v>
      </c>
      <c r="E63" s="22" t="s">
        <v>8</v>
      </c>
      <c r="F63" t="s">
        <v>95</v>
      </c>
      <c r="G63" s="1">
        <v>31</v>
      </c>
      <c r="H63" s="1">
        <v>360</v>
      </c>
      <c r="I63" s="21">
        <v>11160</v>
      </c>
      <c r="J63" s="4">
        <v>46171</v>
      </c>
      <c r="K63" s="4">
        <v>46175</v>
      </c>
      <c r="L63" t="s">
        <v>89</v>
      </c>
      <c r="M63" s="21" t="s">
        <v>119</v>
      </c>
    </row>
    <row r="64" spans="1:13" x14ac:dyDescent="0.3">
      <c r="A64" t="s">
        <v>160</v>
      </c>
      <c r="B64" s="3">
        <v>46162</v>
      </c>
      <c r="C64" s="1" t="s">
        <v>36</v>
      </c>
      <c r="D64" t="s">
        <v>37</v>
      </c>
      <c r="E64" s="22" t="s">
        <v>11</v>
      </c>
      <c r="F64" t="s">
        <v>80</v>
      </c>
      <c r="G64" s="1">
        <v>26</v>
      </c>
      <c r="H64" s="1">
        <v>675</v>
      </c>
      <c r="I64" s="21">
        <v>17550</v>
      </c>
      <c r="J64" s="4">
        <v>46171</v>
      </c>
      <c r="K64" s="4">
        <v>46170</v>
      </c>
      <c r="L64" t="s">
        <v>84</v>
      </c>
      <c r="M64" s="21" t="s">
        <v>117</v>
      </c>
    </row>
    <row r="65" spans="1:13" x14ac:dyDescent="0.3">
      <c r="A65" t="s">
        <v>161</v>
      </c>
      <c r="B65" s="3">
        <v>46164</v>
      </c>
      <c r="C65" s="1" t="s">
        <v>38</v>
      </c>
      <c r="D65" t="s">
        <v>39</v>
      </c>
      <c r="E65" s="22" t="s">
        <v>22</v>
      </c>
      <c r="F65" t="s">
        <v>83</v>
      </c>
      <c r="G65" s="1">
        <v>5</v>
      </c>
      <c r="H65" s="1">
        <v>15000</v>
      </c>
      <c r="I65" s="21">
        <v>75000</v>
      </c>
      <c r="J65" s="4">
        <v>46174</v>
      </c>
      <c r="K65" s="4">
        <v>46177</v>
      </c>
      <c r="L65" t="s">
        <v>81</v>
      </c>
      <c r="M65" s="21" t="s">
        <v>119</v>
      </c>
    </row>
    <row r="66" spans="1:13" x14ac:dyDescent="0.3">
      <c r="A66" t="s">
        <v>162</v>
      </c>
      <c r="B66" s="3">
        <v>46166</v>
      </c>
      <c r="C66" s="1" t="s">
        <v>40</v>
      </c>
      <c r="D66" t="s">
        <v>41</v>
      </c>
      <c r="E66" s="22" t="s">
        <v>14</v>
      </c>
      <c r="F66" t="s">
        <v>86</v>
      </c>
      <c r="G66" s="1">
        <v>54</v>
      </c>
      <c r="H66" s="1">
        <v>150</v>
      </c>
      <c r="I66" s="21">
        <v>8100</v>
      </c>
      <c r="J66" s="4">
        <v>46176</v>
      </c>
      <c r="K66" s="4">
        <v>46180</v>
      </c>
      <c r="L66" t="s">
        <v>84</v>
      </c>
      <c r="M66" s="21" t="s">
        <v>119</v>
      </c>
    </row>
    <row r="67" spans="1:13" x14ac:dyDescent="0.3">
      <c r="A67" t="s">
        <v>163</v>
      </c>
      <c r="B67" s="3">
        <v>46168</v>
      </c>
      <c r="C67" s="1" t="s">
        <v>3</v>
      </c>
      <c r="D67" t="s">
        <v>4</v>
      </c>
      <c r="E67" s="22" t="s">
        <v>5</v>
      </c>
      <c r="F67" t="s">
        <v>88</v>
      </c>
      <c r="G67" s="1">
        <v>2</v>
      </c>
      <c r="H67" s="1">
        <v>32500</v>
      </c>
      <c r="I67" s="21">
        <v>65000</v>
      </c>
      <c r="J67" s="4">
        <v>46176</v>
      </c>
      <c r="K67" s="4">
        <v>46175</v>
      </c>
      <c r="L67" t="s">
        <v>81</v>
      </c>
      <c r="M67" s="21" t="s">
        <v>117</v>
      </c>
    </row>
    <row r="68" spans="1:13" x14ac:dyDescent="0.3">
      <c r="A68" t="s">
        <v>164</v>
      </c>
      <c r="B68" s="3">
        <v>46170</v>
      </c>
      <c r="C68" s="1" t="s">
        <v>6</v>
      </c>
      <c r="D68" t="s">
        <v>7</v>
      </c>
      <c r="E68" s="22" t="s">
        <v>8</v>
      </c>
      <c r="F68" t="s">
        <v>92</v>
      </c>
      <c r="G68" s="1">
        <v>5</v>
      </c>
      <c r="H68" s="1">
        <v>26100</v>
      </c>
      <c r="I68" s="21">
        <v>130500</v>
      </c>
      <c r="J68" s="4">
        <v>46178</v>
      </c>
      <c r="K68" s="4">
        <v>46181</v>
      </c>
      <c r="L68" t="s">
        <v>89</v>
      </c>
      <c r="M68" s="21" t="s">
        <v>119</v>
      </c>
    </row>
    <row r="69" spans="1:13" x14ac:dyDescent="0.3">
      <c r="A69" t="s">
        <v>165</v>
      </c>
      <c r="B69" s="3">
        <v>46172</v>
      </c>
      <c r="C69" s="1" t="s">
        <v>9</v>
      </c>
      <c r="D69" t="s">
        <v>10</v>
      </c>
      <c r="E69" s="22" t="s">
        <v>11</v>
      </c>
      <c r="F69" t="s">
        <v>95</v>
      </c>
      <c r="G69" s="1">
        <v>46</v>
      </c>
      <c r="H69" s="1">
        <v>375</v>
      </c>
      <c r="I69" s="21">
        <v>17250</v>
      </c>
      <c r="J69" s="4">
        <v>46180</v>
      </c>
      <c r="K69" s="4">
        <v>46184</v>
      </c>
      <c r="L69" t="s">
        <v>84</v>
      </c>
      <c r="M69" s="21" t="s">
        <v>119</v>
      </c>
    </row>
    <row r="70" spans="1:13" x14ac:dyDescent="0.3">
      <c r="A70" t="s">
        <v>166</v>
      </c>
      <c r="B70" s="3">
        <v>46174</v>
      </c>
      <c r="C70" s="1" t="s">
        <v>12</v>
      </c>
      <c r="D70" t="s">
        <v>13</v>
      </c>
      <c r="E70" s="22" t="s">
        <v>14</v>
      </c>
      <c r="F70" t="s">
        <v>80</v>
      </c>
      <c r="G70" s="1">
        <v>21</v>
      </c>
      <c r="H70" s="1">
        <v>500</v>
      </c>
      <c r="I70" s="21">
        <v>10500</v>
      </c>
      <c r="J70" s="4">
        <v>46183</v>
      </c>
      <c r="K70" s="4">
        <v>46182</v>
      </c>
      <c r="L70" t="s">
        <v>81</v>
      </c>
      <c r="M70" s="21" t="s">
        <v>117</v>
      </c>
    </row>
    <row r="71" spans="1:13" x14ac:dyDescent="0.3">
      <c r="A71" t="s">
        <v>167</v>
      </c>
      <c r="B71" s="3">
        <v>46176</v>
      </c>
      <c r="C71" s="1" t="s">
        <v>15</v>
      </c>
      <c r="D71" t="s">
        <v>16</v>
      </c>
      <c r="E71" s="22" t="s">
        <v>5</v>
      </c>
      <c r="F71" t="s">
        <v>83</v>
      </c>
      <c r="G71" s="1">
        <v>6</v>
      </c>
      <c r="H71" s="1">
        <v>12000</v>
      </c>
      <c r="I71" s="21">
        <v>72000</v>
      </c>
      <c r="J71" s="4">
        <v>46185</v>
      </c>
      <c r="K71" s="4">
        <v>46188</v>
      </c>
      <c r="L71" t="s">
        <v>84</v>
      </c>
      <c r="M71" s="21" t="s">
        <v>119</v>
      </c>
    </row>
    <row r="72" spans="1:13" x14ac:dyDescent="0.3">
      <c r="A72" t="s">
        <v>168</v>
      </c>
      <c r="B72" s="3">
        <v>46178</v>
      </c>
      <c r="C72" s="1" t="s">
        <v>17</v>
      </c>
      <c r="D72" t="s">
        <v>18</v>
      </c>
      <c r="E72" s="22" t="s">
        <v>19</v>
      </c>
      <c r="F72" t="s">
        <v>86</v>
      </c>
      <c r="G72" s="1">
        <v>55</v>
      </c>
      <c r="H72" s="1">
        <v>190</v>
      </c>
      <c r="I72" s="21">
        <v>10450</v>
      </c>
      <c r="J72" s="4">
        <v>46186</v>
      </c>
      <c r="K72" s="4">
        <v>46190</v>
      </c>
      <c r="L72" t="s">
        <v>81</v>
      </c>
      <c r="M72" s="21" t="s">
        <v>119</v>
      </c>
    </row>
    <row r="73" spans="1:13" x14ac:dyDescent="0.3">
      <c r="A73" t="s">
        <v>169</v>
      </c>
      <c r="B73" s="3">
        <v>46180</v>
      </c>
      <c r="C73" s="1" t="s">
        <v>20</v>
      </c>
      <c r="D73" t="s">
        <v>21</v>
      </c>
      <c r="E73" s="22" t="s">
        <v>22</v>
      </c>
      <c r="F73" t="s">
        <v>88</v>
      </c>
      <c r="G73" s="1">
        <v>4</v>
      </c>
      <c r="H73" s="1">
        <v>28750</v>
      </c>
      <c r="I73" s="21">
        <v>115000</v>
      </c>
      <c r="J73" s="4">
        <v>46189</v>
      </c>
      <c r="K73" s="4">
        <v>46188</v>
      </c>
      <c r="L73" t="s">
        <v>89</v>
      </c>
      <c r="M73" s="21" t="s">
        <v>117</v>
      </c>
    </row>
    <row r="74" spans="1:13" x14ac:dyDescent="0.3">
      <c r="A74" t="s">
        <v>170</v>
      </c>
      <c r="B74" s="3">
        <v>46182</v>
      </c>
      <c r="C74" s="1" t="s">
        <v>23</v>
      </c>
      <c r="D74" t="s">
        <v>24</v>
      </c>
      <c r="E74" s="22" t="s">
        <v>25</v>
      </c>
      <c r="F74" t="s">
        <v>92</v>
      </c>
      <c r="G74" s="1">
        <v>12</v>
      </c>
      <c r="H74" s="1">
        <v>21600</v>
      </c>
      <c r="I74" s="21">
        <v>259200</v>
      </c>
      <c r="J74" s="4">
        <v>46193</v>
      </c>
      <c r="K74" s="4">
        <v>46196</v>
      </c>
      <c r="L74" t="s">
        <v>84</v>
      </c>
      <c r="M74" s="21" t="s">
        <v>119</v>
      </c>
    </row>
    <row r="75" spans="1:13" x14ac:dyDescent="0.3">
      <c r="A75" t="s">
        <v>171</v>
      </c>
      <c r="B75" s="3">
        <v>46184</v>
      </c>
      <c r="C75" s="1" t="s">
        <v>26</v>
      </c>
      <c r="D75" t="s">
        <v>27</v>
      </c>
      <c r="E75" s="22" t="s">
        <v>5</v>
      </c>
      <c r="F75" t="s">
        <v>95</v>
      </c>
      <c r="G75" s="1">
        <v>41</v>
      </c>
      <c r="H75" s="1">
        <v>390</v>
      </c>
      <c r="I75" s="21">
        <v>15990</v>
      </c>
      <c r="J75" s="4">
        <v>46194</v>
      </c>
      <c r="K75" s="4">
        <v>46198</v>
      </c>
      <c r="L75" t="s">
        <v>81</v>
      </c>
      <c r="M75" s="21" t="s">
        <v>119</v>
      </c>
    </row>
    <row r="76" spans="1:13" x14ac:dyDescent="0.3">
      <c r="A76" t="s">
        <v>172</v>
      </c>
      <c r="B76" s="3">
        <v>46186</v>
      </c>
      <c r="C76" s="1" t="s">
        <v>28</v>
      </c>
      <c r="D76" t="s">
        <v>29</v>
      </c>
      <c r="E76" s="22" t="s">
        <v>30</v>
      </c>
      <c r="F76" t="s">
        <v>80</v>
      </c>
      <c r="G76" s="1">
        <v>27</v>
      </c>
      <c r="H76" s="1">
        <v>575</v>
      </c>
      <c r="I76" s="21">
        <v>15525</v>
      </c>
      <c r="J76" s="4">
        <v>46195</v>
      </c>
      <c r="K76" s="4">
        <v>46194</v>
      </c>
      <c r="L76" t="s">
        <v>84</v>
      </c>
      <c r="M76" s="21" t="s">
        <v>117</v>
      </c>
    </row>
    <row r="77" spans="1:13" x14ac:dyDescent="0.3">
      <c r="A77" t="s">
        <v>173</v>
      </c>
      <c r="B77" s="3">
        <v>46188</v>
      </c>
      <c r="C77" s="1" t="s">
        <v>31</v>
      </c>
      <c r="D77" t="s">
        <v>32</v>
      </c>
      <c r="E77" s="22" t="s">
        <v>33</v>
      </c>
      <c r="F77" t="s">
        <v>83</v>
      </c>
      <c r="G77" s="1">
        <v>9</v>
      </c>
      <c r="H77" s="1">
        <v>12600</v>
      </c>
      <c r="I77" s="21">
        <v>113400</v>
      </c>
      <c r="J77" s="4">
        <v>46198</v>
      </c>
      <c r="K77" s="4">
        <v>46201</v>
      </c>
      <c r="L77" t="s">
        <v>81</v>
      </c>
      <c r="M77" s="21" t="s">
        <v>119</v>
      </c>
    </row>
    <row r="78" spans="1:13" x14ac:dyDescent="0.3">
      <c r="A78" t="s">
        <v>174</v>
      </c>
      <c r="B78" s="3">
        <v>46190</v>
      </c>
      <c r="C78" s="1" t="s">
        <v>34</v>
      </c>
      <c r="D78" t="s">
        <v>35</v>
      </c>
      <c r="E78" s="22" t="s">
        <v>8</v>
      </c>
      <c r="F78" t="s">
        <v>86</v>
      </c>
      <c r="G78" s="1">
        <v>62</v>
      </c>
      <c r="H78" s="1">
        <v>180</v>
      </c>
      <c r="I78" s="21">
        <v>11160</v>
      </c>
      <c r="J78" s="4">
        <v>46200</v>
      </c>
      <c r="K78" s="4">
        <v>46204</v>
      </c>
      <c r="L78" t="s">
        <v>89</v>
      </c>
      <c r="M78" s="21" t="s">
        <v>119</v>
      </c>
    </row>
    <row r="79" spans="1:13" x14ac:dyDescent="0.3">
      <c r="A79" t="s">
        <v>175</v>
      </c>
      <c r="B79" s="3">
        <v>46192</v>
      </c>
      <c r="C79" s="1" t="s">
        <v>36</v>
      </c>
      <c r="D79" t="s">
        <v>37</v>
      </c>
      <c r="E79" s="22" t="s">
        <v>11</v>
      </c>
      <c r="F79" t="s">
        <v>88</v>
      </c>
      <c r="G79" s="1">
        <v>5</v>
      </c>
      <c r="H79" s="1">
        <v>32500</v>
      </c>
      <c r="I79" s="21">
        <v>162500</v>
      </c>
      <c r="J79" s="4">
        <v>46201</v>
      </c>
      <c r="K79" s="4">
        <v>46200</v>
      </c>
      <c r="L79" t="s">
        <v>84</v>
      </c>
      <c r="M79" s="21" t="s">
        <v>117</v>
      </c>
    </row>
    <row r="80" spans="1:13" x14ac:dyDescent="0.3">
      <c r="A80" t="s">
        <v>176</v>
      </c>
      <c r="B80" s="3">
        <v>46194</v>
      </c>
      <c r="C80" s="1" t="s">
        <v>38</v>
      </c>
      <c r="D80" t="s">
        <v>39</v>
      </c>
      <c r="E80" s="22" t="s">
        <v>22</v>
      </c>
      <c r="F80" t="s">
        <v>92</v>
      </c>
      <c r="G80" s="1">
        <v>8</v>
      </c>
      <c r="H80" s="1">
        <v>23400</v>
      </c>
      <c r="I80" s="21">
        <v>187200</v>
      </c>
      <c r="J80" s="4">
        <v>46205</v>
      </c>
      <c r="K80" s="4">
        <v>46208</v>
      </c>
      <c r="L80" t="s">
        <v>81</v>
      </c>
      <c r="M80" s="21" t="s">
        <v>119</v>
      </c>
    </row>
    <row r="81" spans="1:13" x14ac:dyDescent="0.3">
      <c r="A81" t="s">
        <v>177</v>
      </c>
      <c r="B81" s="3">
        <v>46196</v>
      </c>
      <c r="C81" s="1" t="s">
        <v>40</v>
      </c>
      <c r="D81" t="s">
        <v>41</v>
      </c>
      <c r="E81" s="22" t="s">
        <v>14</v>
      </c>
      <c r="F81" t="s">
        <v>95</v>
      </c>
      <c r="G81" s="1">
        <v>30</v>
      </c>
      <c r="H81" s="1">
        <v>330</v>
      </c>
      <c r="I81" s="21">
        <v>9900</v>
      </c>
      <c r="J81" s="4">
        <v>46206</v>
      </c>
      <c r="K81" s="4">
        <v>46210</v>
      </c>
      <c r="L81" t="s">
        <v>84</v>
      </c>
      <c r="M81" s="21" t="s">
        <v>119</v>
      </c>
    </row>
    <row r="82" spans="1:13" x14ac:dyDescent="0.3">
      <c r="A82" t="s">
        <v>178</v>
      </c>
      <c r="B82" s="3">
        <v>46198</v>
      </c>
      <c r="C82" s="1" t="s">
        <v>3</v>
      </c>
      <c r="D82" t="s">
        <v>4</v>
      </c>
      <c r="E82" s="22" t="s">
        <v>5</v>
      </c>
      <c r="F82" t="s">
        <v>80</v>
      </c>
      <c r="G82" s="1">
        <v>25</v>
      </c>
      <c r="H82" s="1">
        <v>525</v>
      </c>
      <c r="I82" s="21">
        <v>13125</v>
      </c>
      <c r="J82" s="4">
        <v>46206</v>
      </c>
      <c r="K82" s="4">
        <v>46205</v>
      </c>
      <c r="L82" t="s">
        <v>81</v>
      </c>
      <c r="M82" s="21" t="s">
        <v>117</v>
      </c>
    </row>
    <row r="83" spans="1:13" x14ac:dyDescent="0.3">
      <c r="A83" t="s">
        <v>179</v>
      </c>
      <c r="B83" s="3">
        <v>46200</v>
      </c>
      <c r="C83" s="1" t="s">
        <v>6</v>
      </c>
      <c r="D83" t="s">
        <v>7</v>
      </c>
      <c r="E83" s="22" t="s">
        <v>8</v>
      </c>
      <c r="F83" t="s">
        <v>83</v>
      </c>
      <c r="G83" s="1">
        <v>7</v>
      </c>
      <c r="H83" s="1">
        <v>13200</v>
      </c>
      <c r="I83" s="21">
        <v>92400</v>
      </c>
      <c r="J83" s="4">
        <v>46209</v>
      </c>
      <c r="K83" s="4">
        <v>46212</v>
      </c>
      <c r="L83" t="s">
        <v>89</v>
      </c>
      <c r="M83" s="21" t="s">
        <v>119</v>
      </c>
    </row>
    <row r="84" spans="1:13" x14ac:dyDescent="0.3">
      <c r="A84" t="s">
        <v>180</v>
      </c>
      <c r="B84" s="3">
        <v>46202</v>
      </c>
      <c r="C84" s="1" t="s">
        <v>9</v>
      </c>
      <c r="D84" t="s">
        <v>10</v>
      </c>
      <c r="E84" s="22" t="s">
        <v>11</v>
      </c>
      <c r="F84" t="s">
        <v>86</v>
      </c>
      <c r="G84" s="1">
        <v>58</v>
      </c>
      <c r="H84" s="1">
        <v>170</v>
      </c>
      <c r="I84" s="21">
        <v>9860</v>
      </c>
      <c r="J84" s="4">
        <v>46211</v>
      </c>
      <c r="K84" s="4">
        <v>46215</v>
      </c>
      <c r="L84" t="s">
        <v>84</v>
      </c>
      <c r="M84" s="21" t="s">
        <v>119</v>
      </c>
    </row>
    <row r="85" spans="1:13" x14ac:dyDescent="0.3">
      <c r="A85" t="s">
        <v>181</v>
      </c>
      <c r="B85" s="3">
        <v>46204</v>
      </c>
      <c r="C85" s="1" t="s">
        <v>12</v>
      </c>
      <c r="D85" t="s">
        <v>13</v>
      </c>
      <c r="E85" s="22" t="s">
        <v>14</v>
      </c>
      <c r="F85" t="s">
        <v>88</v>
      </c>
      <c r="G85" s="1">
        <v>5</v>
      </c>
      <c r="H85" s="1">
        <v>30000</v>
      </c>
      <c r="I85" s="21">
        <v>150000</v>
      </c>
      <c r="J85" s="4">
        <v>46213</v>
      </c>
      <c r="K85" s="4">
        <v>46212</v>
      </c>
      <c r="L85" t="s">
        <v>81</v>
      </c>
      <c r="M85" s="21" t="s">
        <v>117</v>
      </c>
    </row>
    <row r="86" spans="1:13" x14ac:dyDescent="0.3">
      <c r="A86" t="s">
        <v>182</v>
      </c>
      <c r="B86" s="3">
        <v>46206</v>
      </c>
      <c r="C86" s="1" t="s">
        <v>15</v>
      </c>
      <c r="D86" t="s">
        <v>16</v>
      </c>
      <c r="E86" s="22" t="s">
        <v>5</v>
      </c>
      <c r="F86" t="s">
        <v>92</v>
      </c>
      <c r="G86" s="1">
        <v>9</v>
      </c>
      <c r="H86" s="1">
        <v>25200</v>
      </c>
      <c r="I86" s="21">
        <v>226800</v>
      </c>
      <c r="J86" s="4">
        <v>46216</v>
      </c>
      <c r="K86" s="4">
        <v>46219</v>
      </c>
      <c r="L86" t="s">
        <v>84</v>
      </c>
      <c r="M86" s="21" t="s">
        <v>119</v>
      </c>
    </row>
    <row r="87" spans="1:13" x14ac:dyDescent="0.3">
      <c r="A87" t="s">
        <v>183</v>
      </c>
      <c r="B87" s="3">
        <v>46208</v>
      </c>
      <c r="C87" s="1" t="s">
        <v>17</v>
      </c>
      <c r="D87" t="s">
        <v>18</v>
      </c>
      <c r="E87" s="22" t="s">
        <v>19</v>
      </c>
      <c r="F87" t="s">
        <v>95</v>
      </c>
      <c r="G87" s="1">
        <v>35</v>
      </c>
      <c r="H87" s="1">
        <v>375</v>
      </c>
      <c r="I87" s="21">
        <v>13125</v>
      </c>
      <c r="J87" s="4">
        <v>46217</v>
      </c>
      <c r="K87" s="4">
        <v>46221</v>
      </c>
      <c r="L87" t="s">
        <v>81</v>
      </c>
      <c r="M87" s="21" t="s">
        <v>119</v>
      </c>
    </row>
    <row r="88" spans="1:13" x14ac:dyDescent="0.3">
      <c r="A88" t="s">
        <v>184</v>
      </c>
      <c r="B88" s="3">
        <v>46210</v>
      </c>
      <c r="C88" s="1" t="s">
        <v>20</v>
      </c>
      <c r="D88" t="s">
        <v>21</v>
      </c>
      <c r="E88" s="22" t="s">
        <v>22</v>
      </c>
      <c r="F88" t="s">
        <v>80</v>
      </c>
      <c r="G88" s="1">
        <v>20</v>
      </c>
      <c r="H88" s="1">
        <v>550</v>
      </c>
      <c r="I88" s="21">
        <v>11000</v>
      </c>
      <c r="J88" s="4">
        <v>46218</v>
      </c>
      <c r="K88" s="4">
        <v>46217</v>
      </c>
      <c r="L88" t="s">
        <v>89</v>
      </c>
      <c r="M88" s="21" t="s">
        <v>117</v>
      </c>
    </row>
    <row r="89" spans="1:13" x14ac:dyDescent="0.3">
      <c r="A89" t="s">
        <v>185</v>
      </c>
      <c r="B89" s="3">
        <v>46212</v>
      </c>
      <c r="C89" s="1" t="s">
        <v>23</v>
      </c>
      <c r="D89" t="s">
        <v>24</v>
      </c>
      <c r="E89" s="22" t="s">
        <v>25</v>
      </c>
      <c r="F89" t="s">
        <v>83</v>
      </c>
      <c r="G89" s="1">
        <v>8</v>
      </c>
      <c r="H89" s="1">
        <v>14400</v>
      </c>
      <c r="I89" s="21">
        <v>115200</v>
      </c>
      <c r="J89" s="4">
        <v>46223</v>
      </c>
      <c r="K89" s="4">
        <v>46226</v>
      </c>
      <c r="L89" t="s">
        <v>84</v>
      </c>
      <c r="M89" s="21" t="s">
        <v>119</v>
      </c>
    </row>
    <row r="90" spans="1:13" x14ac:dyDescent="0.3">
      <c r="A90" t="s">
        <v>186</v>
      </c>
      <c r="B90" s="3">
        <v>46214</v>
      </c>
      <c r="C90" s="1" t="s">
        <v>26</v>
      </c>
      <c r="D90" t="s">
        <v>27</v>
      </c>
      <c r="E90" s="22" t="s">
        <v>5</v>
      </c>
      <c r="F90" t="s">
        <v>86</v>
      </c>
      <c r="G90" s="1">
        <v>67</v>
      </c>
      <c r="H90" s="1">
        <v>190</v>
      </c>
      <c r="I90" s="21">
        <v>12730</v>
      </c>
      <c r="J90" s="4">
        <v>46223</v>
      </c>
      <c r="K90" s="4">
        <v>46227</v>
      </c>
      <c r="L90" t="s">
        <v>81</v>
      </c>
      <c r="M90" s="21" t="s">
        <v>119</v>
      </c>
    </row>
    <row r="91" spans="1:13" x14ac:dyDescent="0.3">
      <c r="A91" t="s">
        <v>187</v>
      </c>
      <c r="B91" s="3">
        <v>46216</v>
      </c>
      <c r="C91" s="1" t="s">
        <v>28</v>
      </c>
      <c r="D91" t="s">
        <v>29</v>
      </c>
      <c r="E91" s="22" t="s">
        <v>30</v>
      </c>
      <c r="F91" t="s">
        <v>88</v>
      </c>
      <c r="G91" s="1">
        <v>2</v>
      </c>
      <c r="H91" s="1">
        <v>27500</v>
      </c>
      <c r="I91" s="21">
        <v>55000</v>
      </c>
      <c r="J91" s="4">
        <v>46225</v>
      </c>
      <c r="K91" s="4">
        <v>46224</v>
      </c>
      <c r="L91" t="s">
        <v>84</v>
      </c>
      <c r="M91" s="21" t="s">
        <v>117</v>
      </c>
    </row>
    <row r="92" spans="1:13" x14ac:dyDescent="0.3">
      <c r="A92" t="s">
        <v>188</v>
      </c>
      <c r="B92" s="3">
        <v>46218</v>
      </c>
      <c r="C92" s="1" t="s">
        <v>31</v>
      </c>
      <c r="D92" t="s">
        <v>32</v>
      </c>
      <c r="E92" s="22" t="s">
        <v>33</v>
      </c>
      <c r="F92" t="s">
        <v>92</v>
      </c>
      <c r="G92" s="1">
        <v>10</v>
      </c>
      <c r="H92" s="1">
        <v>26100</v>
      </c>
      <c r="I92" s="21">
        <v>261000</v>
      </c>
      <c r="J92" s="4">
        <v>46229</v>
      </c>
      <c r="K92" s="4">
        <v>46232</v>
      </c>
      <c r="L92" t="s">
        <v>81</v>
      </c>
      <c r="M92" s="21" t="s">
        <v>119</v>
      </c>
    </row>
    <row r="93" spans="1:13" x14ac:dyDescent="0.3">
      <c r="A93" t="s">
        <v>189</v>
      </c>
      <c r="B93" s="3">
        <v>46220</v>
      </c>
      <c r="C93" s="1" t="s">
        <v>34</v>
      </c>
      <c r="D93" t="s">
        <v>35</v>
      </c>
      <c r="E93" s="22" t="s">
        <v>8</v>
      </c>
      <c r="F93" t="s">
        <v>95</v>
      </c>
      <c r="G93" s="1">
        <v>43</v>
      </c>
      <c r="H93" s="1">
        <v>345</v>
      </c>
      <c r="I93" s="21">
        <v>14835</v>
      </c>
      <c r="J93" s="4">
        <v>46231</v>
      </c>
      <c r="K93" s="4">
        <v>46235</v>
      </c>
      <c r="L93" t="s">
        <v>89</v>
      </c>
      <c r="M93" s="21" t="s">
        <v>119</v>
      </c>
    </row>
    <row r="94" spans="1:13" x14ac:dyDescent="0.3">
      <c r="A94" t="s">
        <v>190</v>
      </c>
      <c r="B94" s="3">
        <v>46222</v>
      </c>
      <c r="C94" s="1" t="s">
        <v>36</v>
      </c>
      <c r="D94" t="s">
        <v>37</v>
      </c>
      <c r="E94" s="22" t="s">
        <v>11</v>
      </c>
      <c r="F94" t="s">
        <v>80</v>
      </c>
      <c r="G94" s="1">
        <v>31</v>
      </c>
      <c r="H94" s="1">
        <v>575</v>
      </c>
      <c r="I94" s="21">
        <v>17825</v>
      </c>
      <c r="J94" s="4">
        <v>46231</v>
      </c>
      <c r="K94" s="4">
        <v>46230</v>
      </c>
      <c r="L94" t="s">
        <v>84</v>
      </c>
      <c r="M94" s="21" t="s">
        <v>117</v>
      </c>
    </row>
    <row r="95" spans="1:13" x14ac:dyDescent="0.3">
      <c r="A95" t="s">
        <v>191</v>
      </c>
      <c r="B95" s="3">
        <v>46224</v>
      </c>
      <c r="C95" s="1" t="s">
        <v>38</v>
      </c>
      <c r="D95" t="s">
        <v>39</v>
      </c>
      <c r="E95" s="22" t="s">
        <v>22</v>
      </c>
      <c r="F95" t="s">
        <v>83</v>
      </c>
      <c r="G95" s="1">
        <v>4</v>
      </c>
      <c r="H95" s="1">
        <v>15600</v>
      </c>
      <c r="I95" s="21">
        <v>62400</v>
      </c>
      <c r="J95" s="4">
        <v>46233</v>
      </c>
      <c r="K95" s="4">
        <v>46236</v>
      </c>
      <c r="L95" t="s">
        <v>81</v>
      </c>
      <c r="M95" s="21" t="s">
        <v>119</v>
      </c>
    </row>
    <row r="96" spans="1:13" x14ac:dyDescent="0.3">
      <c r="A96" t="s">
        <v>192</v>
      </c>
      <c r="B96" s="3">
        <v>46226</v>
      </c>
      <c r="C96" s="1" t="s">
        <v>40</v>
      </c>
      <c r="D96" t="s">
        <v>41</v>
      </c>
      <c r="E96" s="22" t="s">
        <v>14</v>
      </c>
      <c r="F96" t="s">
        <v>86</v>
      </c>
      <c r="G96" s="1">
        <v>63</v>
      </c>
      <c r="H96" s="1">
        <v>180</v>
      </c>
      <c r="I96" s="21">
        <v>11340</v>
      </c>
      <c r="J96" s="4">
        <v>46235</v>
      </c>
      <c r="K96" s="4">
        <v>46239</v>
      </c>
      <c r="L96" t="s">
        <v>84</v>
      </c>
      <c r="M96" s="21" t="s">
        <v>119</v>
      </c>
    </row>
    <row r="97" spans="1:13" x14ac:dyDescent="0.3">
      <c r="A97" t="s">
        <v>193</v>
      </c>
      <c r="B97" s="3">
        <v>46228</v>
      </c>
      <c r="C97" s="1" t="s">
        <v>3</v>
      </c>
      <c r="D97" t="s">
        <v>4</v>
      </c>
      <c r="E97" s="22" t="s">
        <v>5</v>
      </c>
      <c r="F97" t="s">
        <v>88</v>
      </c>
      <c r="G97" s="1">
        <v>3</v>
      </c>
      <c r="H97" s="1">
        <v>30000</v>
      </c>
      <c r="I97" s="21">
        <v>90000</v>
      </c>
      <c r="J97" s="4">
        <v>46236</v>
      </c>
      <c r="K97" s="4">
        <v>46235</v>
      </c>
      <c r="L97" t="s">
        <v>81</v>
      </c>
      <c r="M97" s="21" t="s">
        <v>117</v>
      </c>
    </row>
    <row r="98" spans="1:13" x14ac:dyDescent="0.3">
      <c r="A98" t="s">
        <v>194</v>
      </c>
      <c r="B98" s="3">
        <v>46230</v>
      </c>
      <c r="C98" s="1" t="s">
        <v>6</v>
      </c>
      <c r="D98" t="s">
        <v>7</v>
      </c>
      <c r="E98" s="22" t="s">
        <v>8</v>
      </c>
      <c r="F98" t="s">
        <v>92</v>
      </c>
      <c r="G98" s="1">
        <v>12</v>
      </c>
      <c r="H98" s="1">
        <v>23400</v>
      </c>
      <c r="I98" s="21">
        <v>280800</v>
      </c>
      <c r="J98" s="4">
        <v>46239</v>
      </c>
      <c r="K98" s="4">
        <v>46242</v>
      </c>
      <c r="L98" t="s">
        <v>89</v>
      </c>
      <c r="M98" s="21" t="s">
        <v>119</v>
      </c>
    </row>
    <row r="99" spans="1:13" x14ac:dyDescent="0.3">
      <c r="A99" t="s">
        <v>195</v>
      </c>
      <c r="B99" s="3">
        <v>46232</v>
      </c>
      <c r="C99" s="1" t="s">
        <v>9</v>
      </c>
      <c r="D99" t="s">
        <v>10</v>
      </c>
      <c r="E99" s="22" t="s">
        <v>11</v>
      </c>
      <c r="F99" t="s">
        <v>95</v>
      </c>
      <c r="G99" s="1">
        <v>32</v>
      </c>
      <c r="H99" s="1">
        <v>360</v>
      </c>
      <c r="I99" s="21">
        <v>11520</v>
      </c>
      <c r="J99" s="4">
        <v>46240</v>
      </c>
      <c r="K99" s="4">
        <v>46244</v>
      </c>
      <c r="L99" t="s">
        <v>84</v>
      </c>
      <c r="M99" s="21" t="s">
        <v>119</v>
      </c>
    </row>
    <row r="100" spans="1:13" x14ac:dyDescent="0.3">
      <c r="A100" t="s">
        <v>196</v>
      </c>
      <c r="B100" s="3">
        <v>46234</v>
      </c>
      <c r="C100" s="1" t="s">
        <v>12</v>
      </c>
      <c r="D100" t="s">
        <v>13</v>
      </c>
      <c r="E100" s="22" t="s">
        <v>14</v>
      </c>
      <c r="F100" t="s">
        <v>80</v>
      </c>
      <c r="G100" s="1">
        <v>28</v>
      </c>
      <c r="H100" s="1">
        <v>600</v>
      </c>
      <c r="I100" s="21">
        <v>16800</v>
      </c>
      <c r="J100" s="4">
        <v>46243</v>
      </c>
      <c r="K100" s="4">
        <v>46242</v>
      </c>
      <c r="L100" t="s">
        <v>81</v>
      </c>
      <c r="M100" s="21" t="s">
        <v>117</v>
      </c>
    </row>
    <row r="101" spans="1:13" x14ac:dyDescent="0.3">
      <c r="A101" t="s">
        <v>197</v>
      </c>
      <c r="B101" s="3">
        <v>46236</v>
      </c>
      <c r="C101" s="1" t="s">
        <v>15</v>
      </c>
      <c r="D101" t="s">
        <v>16</v>
      </c>
      <c r="E101" s="22" t="s">
        <v>5</v>
      </c>
      <c r="F101" t="s">
        <v>83</v>
      </c>
      <c r="G101" s="1">
        <v>5</v>
      </c>
      <c r="H101" s="1">
        <v>13200</v>
      </c>
      <c r="I101" s="21">
        <v>66000</v>
      </c>
      <c r="J101" s="4">
        <v>46245</v>
      </c>
      <c r="K101" s="4">
        <v>46248</v>
      </c>
      <c r="L101" t="s">
        <v>84</v>
      </c>
      <c r="M101" s="21" t="s">
        <v>119</v>
      </c>
    </row>
    <row r="102" spans="1:13" x14ac:dyDescent="0.3">
      <c r="A102" t="s">
        <v>198</v>
      </c>
      <c r="B102" s="3">
        <v>46238</v>
      </c>
      <c r="C102" s="1" t="s">
        <v>17</v>
      </c>
      <c r="D102" t="s">
        <v>18</v>
      </c>
      <c r="E102" s="22" t="s">
        <v>19</v>
      </c>
      <c r="F102" t="s">
        <v>86</v>
      </c>
      <c r="G102" s="1">
        <v>71</v>
      </c>
      <c r="H102" s="1">
        <v>150</v>
      </c>
      <c r="I102" s="21">
        <v>10650</v>
      </c>
      <c r="J102" s="4">
        <v>46247</v>
      </c>
      <c r="K102" s="4">
        <v>46251</v>
      </c>
      <c r="L102" t="s">
        <v>81</v>
      </c>
      <c r="M102" s="21" t="s">
        <v>119</v>
      </c>
    </row>
    <row r="103" spans="1:13" x14ac:dyDescent="0.3">
      <c r="A103" t="s">
        <v>199</v>
      </c>
      <c r="B103" s="3">
        <v>46240</v>
      </c>
      <c r="C103" s="1" t="s">
        <v>20</v>
      </c>
      <c r="D103" t="s">
        <v>21</v>
      </c>
      <c r="E103" s="22" t="s">
        <v>22</v>
      </c>
      <c r="F103" t="s">
        <v>88</v>
      </c>
      <c r="G103" s="1">
        <v>6</v>
      </c>
      <c r="H103" s="1">
        <v>31250</v>
      </c>
      <c r="I103" s="21">
        <v>187500</v>
      </c>
      <c r="J103" s="4">
        <v>46249</v>
      </c>
      <c r="K103" s="4">
        <v>46248</v>
      </c>
      <c r="L103" t="s">
        <v>89</v>
      </c>
      <c r="M103" s="21" t="s">
        <v>117</v>
      </c>
    </row>
    <row r="104" spans="1:13" x14ac:dyDescent="0.3">
      <c r="A104" t="s">
        <v>200</v>
      </c>
      <c r="B104" s="3">
        <v>46242</v>
      </c>
      <c r="C104" s="1" t="s">
        <v>23</v>
      </c>
      <c r="D104" t="s">
        <v>24</v>
      </c>
      <c r="E104" s="22" t="s">
        <v>25</v>
      </c>
      <c r="F104" t="s">
        <v>92</v>
      </c>
      <c r="G104" s="1">
        <v>7</v>
      </c>
      <c r="H104" s="1">
        <v>24300</v>
      </c>
      <c r="I104" s="21">
        <v>170100</v>
      </c>
      <c r="J104" s="4">
        <v>46253</v>
      </c>
      <c r="K104" s="4">
        <v>46256</v>
      </c>
      <c r="L104" t="s">
        <v>84</v>
      </c>
      <c r="M104" s="21" t="s">
        <v>119</v>
      </c>
    </row>
    <row r="105" spans="1:13" x14ac:dyDescent="0.3">
      <c r="A105" t="s">
        <v>201</v>
      </c>
      <c r="B105" s="3">
        <v>46244</v>
      </c>
      <c r="C105" s="1" t="s">
        <v>26</v>
      </c>
      <c r="D105" t="s">
        <v>27</v>
      </c>
      <c r="E105" s="22" t="s">
        <v>5</v>
      </c>
      <c r="F105" t="s">
        <v>95</v>
      </c>
      <c r="G105" s="1">
        <v>46</v>
      </c>
      <c r="H105" s="1">
        <v>360</v>
      </c>
      <c r="I105" s="21">
        <v>16560</v>
      </c>
      <c r="J105" s="4">
        <v>46253</v>
      </c>
      <c r="K105" s="4">
        <v>46257</v>
      </c>
      <c r="L105" t="s">
        <v>81</v>
      </c>
      <c r="M105" s="21" t="s">
        <v>119</v>
      </c>
    </row>
    <row r="106" spans="1:13" x14ac:dyDescent="0.3">
      <c r="A106" t="s">
        <v>202</v>
      </c>
      <c r="B106" s="3">
        <v>46246</v>
      </c>
      <c r="C106" s="1" t="s">
        <v>28</v>
      </c>
      <c r="D106" t="s">
        <v>29</v>
      </c>
      <c r="E106" s="22" t="s">
        <v>30</v>
      </c>
      <c r="F106" t="s">
        <v>80</v>
      </c>
      <c r="G106" s="1">
        <v>22</v>
      </c>
      <c r="H106" s="1">
        <v>625</v>
      </c>
      <c r="I106" s="21">
        <v>13750</v>
      </c>
      <c r="J106" s="4">
        <v>46256</v>
      </c>
      <c r="K106" s="4">
        <v>46255</v>
      </c>
      <c r="L106" t="s">
        <v>84</v>
      </c>
      <c r="M106" s="21" t="s">
        <v>117</v>
      </c>
    </row>
    <row r="107" spans="1:13" x14ac:dyDescent="0.3">
      <c r="A107" t="s">
        <v>203</v>
      </c>
      <c r="B107" s="3">
        <v>46248</v>
      </c>
      <c r="C107" s="1" t="s">
        <v>31</v>
      </c>
      <c r="D107" t="s">
        <v>32</v>
      </c>
      <c r="E107" s="22" t="s">
        <v>33</v>
      </c>
      <c r="F107" t="s">
        <v>83</v>
      </c>
      <c r="G107" s="1">
        <v>6</v>
      </c>
      <c r="H107" s="1">
        <v>13800</v>
      </c>
      <c r="I107" s="21">
        <v>82800</v>
      </c>
      <c r="J107" s="4">
        <v>46259</v>
      </c>
      <c r="K107" s="4">
        <v>46262</v>
      </c>
      <c r="L107" t="s">
        <v>81</v>
      </c>
      <c r="M107" s="21" t="s">
        <v>119</v>
      </c>
    </row>
    <row r="108" spans="1:13" x14ac:dyDescent="0.3">
      <c r="A108" t="s">
        <v>204</v>
      </c>
      <c r="B108" s="3">
        <v>46250</v>
      </c>
      <c r="C108" s="1" t="s">
        <v>34</v>
      </c>
      <c r="D108" t="s">
        <v>35</v>
      </c>
      <c r="E108" s="22" t="s">
        <v>8</v>
      </c>
      <c r="F108" t="s">
        <v>86</v>
      </c>
      <c r="G108" s="1">
        <v>56</v>
      </c>
      <c r="H108" s="1">
        <v>160</v>
      </c>
      <c r="I108" s="21">
        <v>8960</v>
      </c>
      <c r="J108" s="4">
        <v>46260</v>
      </c>
      <c r="K108" s="4">
        <v>46264</v>
      </c>
      <c r="L108" t="s">
        <v>89</v>
      </c>
      <c r="M108" s="21" t="s">
        <v>119</v>
      </c>
    </row>
    <row r="109" spans="1:13" x14ac:dyDescent="0.3">
      <c r="A109" t="s">
        <v>205</v>
      </c>
      <c r="B109" s="3">
        <v>46252</v>
      </c>
      <c r="C109" s="1" t="s">
        <v>36</v>
      </c>
      <c r="D109" t="s">
        <v>37</v>
      </c>
      <c r="E109" s="22" t="s">
        <v>11</v>
      </c>
      <c r="F109" t="s">
        <v>88</v>
      </c>
      <c r="G109" s="1">
        <v>4</v>
      </c>
      <c r="H109" s="1">
        <v>30000</v>
      </c>
      <c r="I109" s="21">
        <v>120000</v>
      </c>
      <c r="J109" s="4">
        <v>46263</v>
      </c>
      <c r="K109" s="4">
        <v>46262</v>
      </c>
      <c r="L109" t="s">
        <v>84</v>
      </c>
      <c r="M109" s="21" t="s">
        <v>117</v>
      </c>
    </row>
    <row r="110" spans="1:13" x14ac:dyDescent="0.3">
      <c r="A110" t="s">
        <v>206</v>
      </c>
      <c r="B110" s="3">
        <v>46254</v>
      </c>
      <c r="C110" s="1" t="s">
        <v>38</v>
      </c>
      <c r="D110" t="s">
        <v>39</v>
      </c>
      <c r="E110" s="22" t="s">
        <v>22</v>
      </c>
      <c r="F110" t="s">
        <v>92</v>
      </c>
      <c r="G110" s="1">
        <v>11</v>
      </c>
      <c r="H110" s="1">
        <v>25200</v>
      </c>
      <c r="I110" s="21">
        <v>277200</v>
      </c>
      <c r="J110" s="4">
        <v>46264</v>
      </c>
      <c r="K110" s="4">
        <v>46267</v>
      </c>
      <c r="L110" t="s">
        <v>81</v>
      </c>
      <c r="M110" s="21" t="s">
        <v>119</v>
      </c>
    </row>
    <row r="111" spans="1:13" x14ac:dyDescent="0.3">
      <c r="A111" t="s">
        <v>207</v>
      </c>
      <c r="B111" s="3">
        <v>46256</v>
      </c>
      <c r="C111" s="1" t="s">
        <v>40</v>
      </c>
      <c r="D111" t="s">
        <v>41</v>
      </c>
      <c r="E111" s="22" t="s">
        <v>14</v>
      </c>
      <c r="F111" t="s">
        <v>95</v>
      </c>
      <c r="G111" s="1">
        <v>39</v>
      </c>
      <c r="H111" s="1">
        <v>375</v>
      </c>
      <c r="I111" s="21">
        <v>14625</v>
      </c>
      <c r="J111" s="4">
        <v>46268</v>
      </c>
      <c r="K111" s="4">
        <v>46272</v>
      </c>
      <c r="L111" t="s">
        <v>84</v>
      </c>
      <c r="M111" s="21" t="s">
        <v>119</v>
      </c>
    </row>
    <row r="112" spans="1:13" x14ac:dyDescent="0.3">
      <c r="A112" t="s">
        <v>208</v>
      </c>
      <c r="B112" s="3">
        <v>46258</v>
      </c>
      <c r="C112" s="1" t="s">
        <v>3</v>
      </c>
      <c r="D112" t="s">
        <v>4</v>
      </c>
      <c r="E112" s="22" t="s">
        <v>5</v>
      </c>
      <c r="F112" t="s">
        <v>80</v>
      </c>
      <c r="G112" s="1">
        <v>24</v>
      </c>
      <c r="H112" s="1">
        <v>550</v>
      </c>
      <c r="I112" s="21">
        <v>13200</v>
      </c>
      <c r="J112" s="4">
        <v>46269</v>
      </c>
      <c r="K112" s="4">
        <v>46268</v>
      </c>
      <c r="L112" t="s">
        <v>81</v>
      </c>
      <c r="M112" s="21" t="s">
        <v>117</v>
      </c>
    </row>
    <row r="113" spans="1:13" x14ac:dyDescent="0.3">
      <c r="A113" t="s">
        <v>209</v>
      </c>
      <c r="B113" s="3">
        <v>46260</v>
      </c>
      <c r="C113" s="1" t="s">
        <v>6</v>
      </c>
      <c r="D113" t="s">
        <v>7</v>
      </c>
      <c r="E113" s="22" t="s">
        <v>8</v>
      </c>
      <c r="F113" t="s">
        <v>83</v>
      </c>
      <c r="G113" s="1">
        <v>10</v>
      </c>
      <c r="H113" s="1">
        <v>15000</v>
      </c>
      <c r="I113" s="21">
        <v>150000</v>
      </c>
      <c r="J113" s="4">
        <v>46272</v>
      </c>
      <c r="K113" s="4">
        <v>46275</v>
      </c>
      <c r="L113" t="s">
        <v>89</v>
      </c>
      <c r="M113" s="21" t="s">
        <v>119</v>
      </c>
    </row>
    <row r="114" spans="1:13" x14ac:dyDescent="0.3">
      <c r="A114" t="s">
        <v>210</v>
      </c>
      <c r="B114" s="3">
        <v>46262</v>
      </c>
      <c r="C114" s="1" t="s">
        <v>9</v>
      </c>
      <c r="D114" t="s">
        <v>10</v>
      </c>
      <c r="E114" s="22" t="s">
        <v>11</v>
      </c>
      <c r="F114" t="s">
        <v>86</v>
      </c>
      <c r="G114" s="1">
        <v>50</v>
      </c>
      <c r="H114" s="1">
        <v>180</v>
      </c>
      <c r="I114" s="21">
        <v>9000</v>
      </c>
      <c r="J114" s="4">
        <v>46273</v>
      </c>
      <c r="K114" s="4">
        <v>46277</v>
      </c>
      <c r="L114" t="s">
        <v>84</v>
      </c>
      <c r="M114" s="21" t="s">
        <v>119</v>
      </c>
    </row>
    <row r="115" spans="1:13" x14ac:dyDescent="0.3">
      <c r="A115" t="s">
        <v>211</v>
      </c>
      <c r="B115" s="3">
        <v>46264</v>
      </c>
      <c r="C115" s="1" t="s">
        <v>12</v>
      </c>
      <c r="D115" t="s">
        <v>13</v>
      </c>
      <c r="E115" s="22" t="s">
        <v>14</v>
      </c>
      <c r="F115" t="s">
        <v>88</v>
      </c>
      <c r="G115" s="1">
        <v>2</v>
      </c>
      <c r="H115" s="1">
        <v>28750</v>
      </c>
      <c r="I115" s="21">
        <v>57500</v>
      </c>
      <c r="J115" s="4">
        <v>46274</v>
      </c>
      <c r="K115" s="4">
        <v>46273</v>
      </c>
      <c r="L115" t="s">
        <v>81</v>
      </c>
      <c r="M115" s="21" t="s">
        <v>117</v>
      </c>
    </row>
    <row r="116" spans="1:13" x14ac:dyDescent="0.3">
      <c r="A116" t="s">
        <v>212</v>
      </c>
      <c r="B116" s="3">
        <v>46266</v>
      </c>
      <c r="C116" s="1" t="s">
        <v>15</v>
      </c>
      <c r="D116" t="s">
        <v>16</v>
      </c>
      <c r="E116" s="22" t="s">
        <v>5</v>
      </c>
      <c r="F116" t="s">
        <v>92</v>
      </c>
      <c r="G116" s="1">
        <v>8</v>
      </c>
      <c r="H116" s="1">
        <v>27000</v>
      </c>
      <c r="I116" s="21">
        <v>216000</v>
      </c>
      <c r="J116" s="4">
        <v>46275</v>
      </c>
      <c r="K116" s="4">
        <v>46278</v>
      </c>
      <c r="L116" t="s">
        <v>84</v>
      </c>
      <c r="M116" s="21" t="s">
        <v>119</v>
      </c>
    </row>
    <row r="117" spans="1:13" x14ac:dyDescent="0.3">
      <c r="A117" t="s">
        <v>213</v>
      </c>
      <c r="B117" s="3">
        <v>46268</v>
      </c>
      <c r="C117" s="1" t="s">
        <v>17</v>
      </c>
      <c r="D117" t="s">
        <v>18</v>
      </c>
      <c r="E117" s="22" t="s">
        <v>19</v>
      </c>
      <c r="F117" t="s">
        <v>95</v>
      </c>
      <c r="G117" s="1">
        <v>36</v>
      </c>
      <c r="H117" s="1">
        <v>390</v>
      </c>
      <c r="I117" s="21">
        <v>14040</v>
      </c>
      <c r="J117" s="4">
        <v>46277</v>
      </c>
      <c r="K117" s="4">
        <v>46281</v>
      </c>
      <c r="L117" t="s">
        <v>81</v>
      </c>
      <c r="M117" s="21" t="s">
        <v>119</v>
      </c>
    </row>
    <row r="118" spans="1:13" x14ac:dyDescent="0.3">
      <c r="A118" t="s">
        <v>214</v>
      </c>
      <c r="B118" s="3">
        <v>46270</v>
      </c>
      <c r="C118" s="1" t="s">
        <v>20</v>
      </c>
      <c r="D118" t="s">
        <v>21</v>
      </c>
      <c r="E118" s="22" t="s">
        <v>22</v>
      </c>
      <c r="F118" t="s">
        <v>80</v>
      </c>
      <c r="G118" s="1">
        <v>27</v>
      </c>
      <c r="H118" s="1">
        <v>575</v>
      </c>
      <c r="I118" s="21">
        <v>15525</v>
      </c>
      <c r="J118" s="4">
        <v>46279</v>
      </c>
      <c r="K118" s="4">
        <v>46278</v>
      </c>
      <c r="L118" t="s">
        <v>89</v>
      </c>
      <c r="M118" s="21" t="s">
        <v>117</v>
      </c>
    </row>
    <row r="119" spans="1:13" x14ac:dyDescent="0.3">
      <c r="A119" t="s">
        <v>215</v>
      </c>
      <c r="B119" s="3">
        <v>46272</v>
      </c>
      <c r="C119" s="1" t="s">
        <v>23</v>
      </c>
      <c r="D119" t="s">
        <v>24</v>
      </c>
      <c r="E119" s="22" t="s">
        <v>25</v>
      </c>
      <c r="F119" t="s">
        <v>83</v>
      </c>
      <c r="G119" s="1">
        <v>9</v>
      </c>
      <c r="H119" s="1">
        <v>12000</v>
      </c>
      <c r="I119" s="21">
        <v>108000</v>
      </c>
      <c r="J119" s="4">
        <v>46283</v>
      </c>
      <c r="K119" s="4">
        <v>46286</v>
      </c>
      <c r="L119" t="s">
        <v>84</v>
      </c>
      <c r="M119" s="21" t="s">
        <v>119</v>
      </c>
    </row>
    <row r="120" spans="1:13" x14ac:dyDescent="0.3">
      <c r="A120" t="s">
        <v>216</v>
      </c>
      <c r="B120" s="3">
        <v>46274</v>
      </c>
      <c r="C120" s="1" t="s">
        <v>26</v>
      </c>
      <c r="D120" t="s">
        <v>27</v>
      </c>
      <c r="E120" s="22" t="s">
        <v>5</v>
      </c>
      <c r="F120" t="s">
        <v>86</v>
      </c>
      <c r="G120" s="1">
        <v>70</v>
      </c>
      <c r="H120" s="1">
        <v>150</v>
      </c>
      <c r="I120" s="21">
        <v>10500</v>
      </c>
      <c r="J120" s="4">
        <v>46282</v>
      </c>
      <c r="K120" s="4">
        <v>46286</v>
      </c>
      <c r="L120" t="s">
        <v>81</v>
      </c>
      <c r="M120" s="21" t="s">
        <v>119</v>
      </c>
    </row>
    <row r="121" spans="1:13" x14ac:dyDescent="0.3">
      <c r="A121" t="s">
        <v>217</v>
      </c>
      <c r="B121" s="3">
        <v>46276</v>
      </c>
      <c r="C121" s="1" t="s">
        <v>28</v>
      </c>
      <c r="D121" t="s">
        <v>29</v>
      </c>
      <c r="E121" s="22" t="s">
        <v>30</v>
      </c>
      <c r="F121" t="s">
        <v>88</v>
      </c>
      <c r="G121" s="1">
        <v>5</v>
      </c>
      <c r="H121" s="1">
        <v>32500</v>
      </c>
      <c r="I121" s="21">
        <v>162500</v>
      </c>
      <c r="J121" s="4">
        <v>46284</v>
      </c>
      <c r="K121" s="4">
        <v>46283</v>
      </c>
      <c r="L121" t="s">
        <v>84</v>
      </c>
      <c r="M121" s="21" t="s">
        <v>117</v>
      </c>
    </row>
    <row r="122" spans="1:13" x14ac:dyDescent="0.3">
      <c r="A122" t="s">
        <v>218</v>
      </c>
      <c r="B122" s="3">
        <v>46278</v>
      </c>
      <c r="C122" s="1" t="s">
        <v>31</v>
      </c>
      <c r="D122" t="s">
        <v>32</v>
      </c>
      <c r="E122" s="22" t="s">
        <v>33</v>
      </c>
      <c r="F122" t="s">
        <v>92</v>
      </c>
      <c r="G122" s="1">
        <v>6</v>
      </c>
      <c r="H122" s="1">
        <v>26100</v>
      </c>
      <c r="I122" s="21">
        <v>156600</v>
      </c>
      <c r="J122" s="4">
        <v>46288</v>
      </c>
      <c r="K122" s="4">
        <v>46291</v>
      </c>
      <c r="L122" t="s">
        <v>81</v>
      </c>
      <c r="M122" s="21" t="s">
        <v>119</v>
      </c>
    </row>
    <row r="123" spans="1:13" x14ac:dyDescent="0.3">
      <c r="A123" t="s">
        <v>219</v>
      </c>
      <c r="B123" s="3">
        <v>46280</v>
      </c>
      <c r="C123" s="1" t="s">
        <v>34</v>
      </c>
      <c r="D123" t="s">
        <v>35</v>
      </c>
      <c r="E123" s="22" t="s">
        <v>8</v>
      </c>
      <c r="F123" t="s">
        <v>95</v>
      </c>
      <c r="G123" s="1">
        <v>47</v>
      </c>
      <c r="H123" s="1">
        <v>330</v>
      </c>
      <c r="I123" s="21">
        <v>15510</v>
      </c>
      <c r="J123" s="4">
        <v>46289</v>
      </c>
      <c r="K123" s="4">
        <v>46293</v>
      </c>
      <c r="L123" t="s">
        <v>89</v>
      </c>
      <c r="M123" s="21" t="s">
        <v>119</v>
      </c>
    </row>
    <row r="124" spans="1:13" x14ac:dyDescent="0.3">
      <c r="A124" t="s">
        <v>220</v>
      </c>
      <c r="B124" s="3">
        <v>46282</v>
      </c>
      <c r="C124" s="1" t="s">
        <v>36</v>
      </c>
      <c r="D124" t="s">
        <v>37</v>
      </c>
      <c r="E124" s="22" t="s">
        <v>11</v>
      </c>
      <c r="F124" t="s">
        <v>80</v>
      </c>
      <c r="G124" s="1">
        <v>33</v>
      </c>
      <c r="H124" s="1">
        <v>600</v>
      </c>
      <c r="I124" s="21">
        <v>19800</v>
      </c>
      <c r="J124" s="4">
        <v>46290</v>
      </c>
      <c r="K124" s="4">
        <v>46289</v>
      </c>
      <c r="L124" t="s">
        <v>84</v>
      </c>
      <c r="M124" s="21" t="s">
        <v>117</v>
      </c>
    </row>
    <row r="125" spans="1:13" x14ac:dyDescent="0.3">
      <c r="A125" t="s">
        <v>221</v>
      </c>
      <c r="B125" s="3">
        <v>46284</v>
      </c>
      <c r="C125" s="1" t="s">
        <v>38</v>
      </c>
      <c r="D125" t="s">
        <v>39</v>
      </c>
      <c r="E125" s="22" t="s">
        <v>22</v>
      </c>
      <c r="F125" t="s">
        <v>83</v>
      </c>
      <c r="G125" s="1">
        <v>5</v>
      </c>
      <c r="H125" s="1">
        <v>14400</v>
      </c>
      <c r="I125" s="21">
        <v>72000</v>
      </c>
      <c r="J125" s="4">
        <v>46293</v>
      </c>
      <c r="K125" s="4">
        <v>46296</v>
      </c>
      <c r="L125" t="s">
        <v>81</v>
      </c>
      <c r="M125" s="21" t="s">
        <v>119</v>
      </c>
    </row>
    <row r="126" spans="1:13" x14ac:dyDescent="0.3">
      <c r="A126" t="s">
        <v>222</v>
      </c>
      <c r="B126" s="3">
        <v>46286</v>
      </c>
      <c r="C126" s="1" t="s">
        <v>40</v>
      </c>
      <c r="D126" t="s">
        <v>41</v>
      </c>
      <c r="E126" s="22" t="s">
        <v>14</v>
      </c>
      <c r="F126" t="s">
        <v>86</v>
      </c>
      <c r="G126" s="1">
        <v>59</v>
      </c>
      <c r="H126" s="1">
        <v>170</v>
      </c>
      <c r="I126" s="21">
        <v>10030</v>
      </c>
      <c r="J126" s="4">
        <v>46295</v>
      </c>
      <c r="K126" s="4">
        <v>46299</v>
      </c>
      <c r="L126" t="s">
        <v>84</v>
      </c>
      <c r="M126" s="21" t="s">
        <v>119</v>
      </c>
    </row>
    <row r="127" spans="1:13" x14ac:dyDescent="0.3">
      <c r="A127" t="s">
        <v>223</v>
      </c>
      <c r="B127" s="3">
        <v>46288</v>
      </c>
      <c r="C127" s="1" t="s">
        <v>3</v>
      </c>
      <c r="D127" t="s">
        <v>4</v>
      </c>
      <c r="E127" s="22" t="s">
        <v>5</v>
      </c>
      <c r="F127" t="s">
        <v>88</v>
      </c>
      <c r="G127" s="1">
        <v>4</v>
      </c>
      <c r="H127" s="1">
        <v>25000</v>
      </c>
      <c r="I127" s="21">
        <v>100000</v>
      </c>
      <c r="J127" s="4">
        <v>46297</v>
      </c>
      <c r="K127" s="4">
        <v>46296</v>
      </c>
      <c r="L127" t="s">
        <v>81</v>
      </c>
      <c r="M127" s="21" t="s">
        <v>117</v>
      </c>
    </row>
    <row r="128" spans="1:13" x14ac:dyDescent="0.3">
      <c r="A128" t="s">
        <v>224</v>
      </c>
      <c r="B128" s="3">
        <v>46290</v>
      </c>
      <c r="C128" s="1" t="s">
        <v>6</v>
      </c>
      <c r="D128" t="s">
        <v>7</v>
      </c>
      <c r="E128" s="22" t="s">
        <v>8</v>
      </c>
      <c r="F128" t="s">
        <v>92</v>
      </c>
      <c r="G128" s="1">
        <v>9</v>
      </c>
      <c r="H128" s="1">
        <v>27900</v>
      </c>
      <c r="I128" s="21">
        <v>251100</v>
      </c>
      <c r="J128" s="4">
        <v>46300</v>
      </c>
      <c r="K128" s="4">
        <v>46303</v>
      </c>
      <c r="L128" t="s">
        <v>89</v>
      </c>
      <c r="M128" s="21" t="s">
        <v>119</v>
      </c>
    </row>
    <row r="129" spans="1:13" x14ac:dyDescent="0.3">
      <c r="A129" t="s">
        <v>225</v>
      </c>
      <c r="B129" s="3">
        <v>46292</v>
      </c>
      <c r="C129" s="1" t="s">
        <v>9</v>
      </c>
      <c r="D129" t="s">
        <v>10</v>
      </c>
      <c r="E129" s="22" t="s">
        <v>11</v>
      </c>
      <c r="F129" t="s">
        <v>95</v>
      </c>
      <c r="G129" s="1">
        <v>44</v>
      </c>
      <c r="H129" s="1">
        <v>345</v>
      </c>
      <c r="I129" s="21">
        <v>15180</v>
      </c>
      <c r="J129" s="4">
        <v>46301</v>
      </c>
      <c r="K129" s="4">
        <v>46305</v>
      </c>
      <c r="L129" t="s">
        <v>84</v>
      </c>
      <c r="M129" s="21" t="s">
        <v>119</v>
      </c>
    </row>
    <row r="130" spans="1:13" x14ac:dyDescent="0.3">
      <c r="A130" t="s">
        <v>226</v>
      </c>
      <c r="B130" s="3">
        <v>46294</v>
      </c>
      <c r="C130" s="1" t="s">
        <v>12</v>
      </c>
      <c r="D130" t="s">
        <v>13</v>
      </c>
      <c r="E130" s="22" t="s">
        <v>14</v>
      </c>
      <c r="F130" t="s">
        <v>80</v>
      </c>
      <c r="G130" s="1">
        <v>30</v>
      </c>
      <c r="H130" s="1">
        <v>650</v>
      </c>
      <c r="I130" s="21">
        <v>19500</v>
      </c>
      <c r="J130" s="4">
        <v>46303</v>
      </c>
      <c r="K130" s="4">
        <v>46302</v>
      </c>
      <c r="L130" t="s">
        <v>81</v>
      </c>
      <c r="M130" s="21" t="s">
        <v>117</v>
      </c>
    </row>
    <row r="131" spans="1:13" x14ac:dyDescent="0.3">
      <c r="A131" t="s">
        <v>227</v>
      </c>
      <c r="B131" s="3">
        <v>46296</v>
      </c>
      <c r="C131" s="1" t="s">
        <v>15</v>
      </c>
      <c r="D131" t="s">
        <v>16</v>
      </c>
      <c r="E131" s="22" t="s">
        <v>5</v>
      </c>
      <c r="F131" t="s">
        <v>83</v>
      </c>
      <c r="G131" s="1">
        <v>7</v>
      </c>
      <c r="H131" s="1">
        <v>12600</v>
      </c>
      <c r="I131" s="21">
        <v>88200</v>
      </c>
      <c r="J131" s="4">
        <v>46305</v>
      </c>
      <c r="K131" s="4">
        <v>46308</v>
      </c>
      <c r="L131" t="s">
        <v>84</v>
      </c>
      <c r="M131" s="21" t="s">
        <v>119</v>
      </c>
    </row>
    <row r="132" spans="1:13" x14ac:dyDescent="0.3">
      <c r="A132" t="s">
        <v>228</v>
      </c>
      <c r="B132" s="3">
        <v>46298</v>
      </c>
      <c r="C132" s="1" t="s">
        <v>17</v>
      </c>
      <c r="D132" t="s">
        <v>18</v>
      </c>
      <c r="E132" s="22" t="s">
        <v>19</v>
      </c>
      <c r="F132" t="s">
        <v>86</v>
      </c>
      <c r="G132" s="1">
        <v>52</v>
      </c>
      <c r="H132" s="1">
        <v>160</v>
      </c>
      <c r="I132" s="21">
        <v>8320</v>
      </c>
      <c r="J132" s="4">
        <v>46307</v>
      </c>
      <c r="K132" s="4">
        <v>46311</v>
      </c>
      <c r="L132" t="s">
        <v>81</v>
      </c>
      <c r="M132" s="21" t="s">
        <v>119</v>
      </c>
    </row>
    <row r="133" spans="1:13" x14ac:dyDescent="0.3">
      <c r="A133" t="s">
        <v>229</v>
      </c>
      <c r="B133" s="3">
        <v>46300</v>
      </c>
      <c r="C133" s="1" t="s">
        <v>20</v>
      </c>
      <c r="D133" t="s">
        <v>21</v>
      </c>
      <c r="E133" s="22" t="s">
        <v>22</v>
      </c>
      <c r="F133" t="s">
        <v>88</v>
      </c>
      <c r="G133" s="1">
        <v>3</v>
      </c>
      <c r="H133" s="1">
        <v>27500</v>
      </c>
      <c r="I133" s="21">
        <v>82500</v>
      </c>
      <c r="J133" s="4">
        <v>46309</v>
      </c>
      <c r="K133" s="4">
        <v>46308</v>
      </c>
      <c r="L133" t="s">
        <v>89</v>
      </c>
      <c r="M133" s="21" t="s">
        <v>117</v>
      </c>
    </row>
    <row r="134" spans="1:13" x14ac:dyDescent="0.3">
      <c r="A134" t="s">
        <v>230</v>
      </c>
      <c r="B134" s="3">
        <v>46302</v>
      </c>
      <c r="C134" s="1" t="s">
        <v>23</v>
      </c>
      <c r="D134" t="s">
        <v>24</v>
      </c>
      <c r="E134" s="22" t="s">
        <v>25</v>
      </c>
      <c r="F134" t="s">
        <v>92</v>
      </c>
      <c r="G134" s="1">
        <v>12</v>
      </c>
      <c r="H134" s="1">
        <v>25200</v>
      </c>
      <c r="I134" s="21">
        <v>302400</v>
      </c>
      <c r="J134" s="4">
        <v>46313</v>
      </c>
      <c r="K134" s="4">
        <v>46316</v>
      </c>
      <c r="L134" t="s">
        <v>84</v>
      </c>
      <c r="M134" s="21" t="s">
        <v>119</v>
      </c>
    </row>
    <row r="135" spans="1:13" x14ac:dyDescent="0.3">
      <c r="A135" t="s">
        <v>231</v>
      </c>
      <c r="B135" s="3">
        <v>46304</v>
      </c>
      <c r="C135" s="1" t="s">
        <v>26</v>
      </c>
      <c r="D135" t="s">
        <v>27</v>
      </c>
      <c r="E135" s="22" t="s">
        <v>5</v>
      </c>
      <c r="F135" t="s">
        <v>95</v>
      </c>
      <c r="G135" s="1">
        <v>33</v>
      </c>
      <c r="H135" s="1">
        <v>375</v>
      </c>
      <c r="I135" s="21">
        <v>12375</v>
      </c>
      <c r="J135" s="4">
        <v>46313</v>
      </c>
      <c r="K135" s="4">
        <v>46317</v>
      </c>
      <c r="L135" t="s">
        <v>81</v>
      </c>
      <c r="M135" s="21" t="s">
        <v>119</v>
      </c>
    </row>
    <row r="136" spans="1:13" x14ac:dyDescent="0.3">
      <c r="A136" t="s">
        <v>232</v>
      </c>
      <c r="B136" s="3">
        <v>46306</v>
      </c>
      <c r="C136" s="1" t="s">
        <v>28</v>
      </c>
      <c r="D136" t="s">
        <v>29</v>
      </c>
      <c r="E136" s="22" t="s">
        <v>30</v>
      </c>
      <c r="F136" t="s">
        <v>80</v>
      </c>
      <c r="G136" s="1">
        <v>25</v>
      </c>
      <c r="H136" s="1">
        <v>500</v>
      </c>
      <c r="I136" s="21">
        <v>12500</v>
      </c>
      <c r="J136" s="4">
        <v>46315</v>
      </c>
      <c r="K136" s="4">
        <v>46314</v>
      </c>
      <c r="L136" t="s">
        <v>84</v>
      </c>
      <c r="M136" s="21" t="s">
        <v>117</v>
      </c>
    </row>
    <row r="137" spans="1:13" x14ac:dyDescent="0.3">
      <c r="A137" t="s">
        <v>233</v>
      </c>
      <c r="B137" s="3">
        <v>46308</v>
      </c>
      <c r="C137" s="1" t="s">
        <v>31</v>
      </c>
      <c r="D137" t="s">
        <v>32</v>
      </c>
      <c r="E137" s="22" t="s">
        <v>33</v>
      </c>
      <c r="F137" t="s">
        <v>83</v>
      </c>
      <c r="G137" s="1">
        <v>8</v>
      </c>
      <c r="H137" s="1">
        <v>15000</v>
      </c>
      <c r="I137" s="21">
        <v>120000</v>
      </c>
      <c r="J137" s="4">
        <v>46318</v>
      </c>
      <c r="K137" s="4">
        <v>46321</v>
      </c>
      <c r="L137" t="s">
        <v>81</v>
      </c>
      <c r="M137" s="21" t="s">
        <v>119</v>
      </c>
    </row>
    <row r="138" spans="1:13" x14ac:dyDescent="0.3">
      <c r="A138" t="s">
        <v>234</v>
      </c>
      <c r="B138" s="3">
        <v>46310</v>
      </c>
      <c r="C138" s="1" t="s">
        <v>34</v>
      </c>
      <c r="D138" t="s">
        <v>35</v>
      </c>
      <c r="E138" s="22" t="s">
        <v>8</v>
      </c>
      <c r="F138" t="s">
        <v>86</v>
      </c>
      <c r="G138" s="1">
        <v>61</v>
      </c>
      <c r="H138" s="1">
        <v>190</v>
      </c>
      <c r="I138" s="21">
        <v>11590</v>
      </c>
      <c r="J138" s="4">
        <v>46319</v>
      </c>
      <c r="K138" s="4">
        <v>46323</v>
      </c>
      <c r="L138" t="s">
        <v>89</v>
      </c>
      <c r="M138" s="21" t="s">
        <v>119</v>
      </c>
    </row>
    <row r="139" spans="1:13" x14ac:dyDescent="0.3">
      <c r="A139" t="s">
        <v>235</v>
      </c>
      <c r="B139" s="3">
        <v>46312</v>
      </c>
      <c r="C139" s="1" t="s">
        <v>36</v>
      </c>
      <c r="D139" t="s">
        <v>37</v>
      </c>
      <c r="E139" s="22" t="s">
        <v>11</v>
      </c>
      <c r="F139" t="s">
        <v>88</v>
      </c>
      <c r="G139" s="1">
        <v>6</v>
      </c>
      <c r="H139" s="1">
        <v>31250</v>
      </c>
      <c r="I139" s="21">
        <v>187500</v>
      </c>
      <c r="J139" s="4">
        <v>46322</v>
      </c>
      <c r="K139" s="4">
        <v>46321</v>
      </c>
      <c r="L139" t="s">
        <v>84</v>
      </c>
      <c r="M139" s="21" t="s">
        <v>117</v>
      </c>
    </row>
    <row r="140" spans="1:13" x14ac:dyDescent="0.3">
      <c r="A140" t="s">
        <v>236</v>
      </c>
      <c r="B140" s="3">
        <v>46314</v>
      </c>
      <c r="C140" s="1" t="s">
        <v>38</v>
      </c>
      <c r="D140" t="s">
        <v>39</v>
      </c>
      <c r="E140" s="22" t="s">
        <v>22</v>
      </c>
      <c r="F140" t="s">
        <v>92</v>
      </c>
      <c r="G140" s="1">
        <v>10</v>
      </c>
      <c r="H140" s="1">
        <v>26100</v>
      </c>
      <c r="I140" s="21">
        <v>261000</v>
      </c>
      <c r="J140" s="4">
        <v>46325</v>
      </c>
      <c r="K140" s="4">
        <v>46328</v>
      </c>
      <c r="L140" t="s">
        <v>81</v>
      </c>
      <c r="M140" s="21" t="s">
        <v>119</v>
      </c>
    </row>
    <row r="141" spans="1:13" x14ac:dyDescent="0.3">
      <c r="A141" t="s">
        <v>237</v>
      </c>
      <c r="B141" s="3">
        <v>46316</v>
      </c>
      <c r="C141" s="1" t="s">
        <v>40</v>
      </c>
      <c r="D141" t="s">
        <v>41</v>
      </c>
      <c r="E141" s="22" t="s">
        <v>14</v>
      </c>
      <c r="F141" t="s">
        <v>95</v>
      </c>
      <c r="G141" s="1">
        <v>45</v>
      </c>
      <c r="H141" s="1">
        <v>360</v>
      </c>
      <c r="I141" s="21">
        <v>16200</v>
      </c>
      <c r="J141" s="4">
        <v>46328</v>
      </c>
      <c r="K141" s="4">
        <v>46332</v>
      </c>
      <c r="L141" t="s">
        <v>84</v>
      </c>
      <c r="M141" s="21" t="s">
        <v>119</v>
      </c>
    </row>
    <row r="142" spans="1:13" x14ac:dyDescent="0.3">
      <c r="A142" t="s">
        <v>238</v>
      </c>
      <c r="B142" s="3">
        <v>46318</v>
      </c>
      <c r="C142" s="1" t="s">
        <v>3</v>
      </c>
      <c r="D142" t="s">
        <v>4</v>
      </c>
      <c r="E142" s="22" t="s">
        <v>5</v>
      </c>
      <c r="F142" t="s">
        <v>80</v>
      </c>
      <c r="G142" s="1">
        <v>31</v>
      </c>
      <c r="H142" s="1">
        <v>525</v>
      </c>
      <c r="I142" s="21">
        <v>16275</v>
      </c>
      <c r="J142" s="4">
        <v>46328</v>
      </c>
      <c r="K142" s="4">
        <v>46327</v>
      </c>
      <c r="L142" t="s">
        <v>81</v>
      </c>
      <c r="M142" s="21" t="s">
        <v>117</v>
      </c>
    </row>
    <row r="143" spans="1:13" x14ac:dyDescent="0.3">
      <c r="A143" t="s">
        <v>239</v>
      </c>
      <c r="B143" s="3">
        <v>46320</v>
      </c>
      <c r="C143" s="1" t="s">
        <v>6</v>
      </c>
      <c r="D143" t="s">
        <v>7</v>
      </c>
      <c r="E143" s="22" t="s">
        <v>8</v>
      </c>
      <c r="F143" t="s">
        <v>83</v>
      </c>
      <c r="G143" s="1">
        <v>6</v>
      </c>
      <c r="H143" s="1">
        <v>13800</v>
      </c>
      <c r="I143" s="21">
        <v>82800</v>
      </c>
      <c r="J143" s="4">
        <v>46331</v>
      </c>
      <c r="K143" s="4">
        <v>46334</v>
      </c>
      <c r="L143" t="s">
        <v>89</v>
      </c>
      <c r="M143" s="21" t="s">
        <v>119</v>
      </c>
    </row>
    <row r="144" spans="1:13" x14ac:dyDescent="0.3">
      <c r="A144" t="s">
        <v>240</v>
      </c>
      <c r="B144" s="3">
        <v>46322</v>
      </c>
      <c r="C144" s="1" t="s">
        <v>9</v>
      </c>
      <c r="D144" t="s">
        <v>10</v>
      </c>
      <c r="E144" s="22" t="s">
        <v>11</v>
      </c>
      <c r="F144" t="s">
        <v>86</v>
      </c>
      <c r="G144" s="1">
        <v>64</v>
      </c>
      <c r="H144" s="1">
        <v>180</v>
      </c>
      <c r="I144" s="21">
        <v>11520</v>
      </c>
      <c r="J144" s="4">
        <v>46332</v>
      </c>
      <c r="K144" s="4">
        <v>46336</v>
      </c>
      <c r="L144" t="s">
        <v>84</v>
      </c>
      <c r="M144" s="21" t="s">
        <v>119</v>
      </c>
    </row>
    <row r="145" spans="1:13" x14ac:dyDescent="0.3">
      <c r="A145" t="s">
        <v>241</v>
      </c>
      <c r="B145" s="3">
        <v>46324</v>
      </c>
      <c r="C145" s="1" t="s">
        <v>12</v>
      </c>
      <c r="D145" t="s">
        <v>13</v>
      </c>
      <c r="E145" s="22" t="s">
        <v>14</v>
      </c>
      <c r="F145" t="s">
        <v>88</v>
      </c>
      <c r="G145" s="1">
        <v>5</v>
      </c>
      <c r="H145" s="1">
        <v>30000</v>
      </c>
      <c r="I145" s="21">
        <v>150000</v>
      </c>
      <c r="J145" s="4">
        <v>46333</v>
      </c>
      <c r="K145" s="4">
        <v>46332</v>
      </c>
      <c r="L145" t="s">
        <v>81</v>
      </c>
      <c r="M145" s="21" t="s">
        <v>117</v>
      </c>
    </row>
    <row r="146" spans="1:13" x14ac:dyDescent="0.3">
      <c r="A146" t="s">
        <v>242</v>
      </c>
      <c r="B146" s="3">
        <v>46326</v>
      </c>
      <c r="C146" s="1" t="s">
        <v>15</v>
      </c>
      <c r="D146" t="s">
        <v>16</v>
      </c>
      <c r="E146" s="22" t="s">
        <v>5</v>
      </c>
      <c r="F146" t="s">
        <v>92</v>
      </c>
      <c r="G146" s="1">
        <v>7</v>
      </c>
      <c r="H146" s="1">
        <v>28800</v>
      </c>
      <c r="I146" s="21">
        <v>201600</v>
      </c>
      <c r="J146" s="4">
        <v>46337</v>
      </c>
      <c r="K146" s="4">
        <v>46340</v>
      </c>
      <c r="L146" t="s">
        <v>84</v>
      </c>
      <c r="M146" s="21" t="s">
        <v>119</v>
      </c>
    </row>
    <row r="147" spans="1:13" x14ac:dyDescent="0.3">
      <c r="A147" t="s">
        <v>243</v>
      </c>
      <c r="B147" s="3">
        <v>46328</v>
      </c>
      <c r="C147" s="1" t="s">
        <v>17</v>
      </c>
      <c r="D147" t="s">
        <v>18</v>
      </c>
      <c r="E147" s="22" t="s">
        <v>19</v>
      </c>
      <c r="F147" t="s">
        <v>95</v>
      </c>
      <c r="G147" s="1">
        <v>38</v>
      </c>
      <c r="H147" s="1">
        <v>345</v>
      </c>
      <c r="I147" s="21">
        <v>13110</v>
      </c>
      <c r="J147" s="4">
        <v>46339</v>
      </c>
      <c r="K147" s="4">
        <v>46343</v>
      </c>
      <c r="L147" t="s">
        <v>81</v>
      </c>
      <c r="M147" s="21" t="s">
        <v>119</v>
      </c>
    </row>
    <row r="148" spans="1:13" x14ac:dyDescent="0.3">
      <c r="A148" t="s">
        <v>244</v>
      </c>
      <c r="B148" s="3">
        <v>46330</v>
      </c>
      <c r="C148" s="1" t="s">
        <v>20</v>
      </c>
      <c r="D148" t="s">
        <v>21</v>
      </c>
      <c r="E148" s="22" t="s">
        <v>22</v>
      </c>
      <c r="F148" t="s">
        <v>80</v>
      </c>
      <c r="G148" s="1">
        <v>28</v>
      </c>
      <c r="H148" s="1">
        <v>600</v>
      </c>
      <c r="I148" s="21">
        <v>16800</v>
      </c>
      <c r="J148" s="4">
        <v>46338</v>
      </c>
      <c r="K148" s="4">
        <v>46337</v>
      </c>
      <c r="L148" t="s">
        <v>89</v>
      </c>
      <c r="M148" s="21" t="s">
        <v>117</v>
      </c>
    </row>
    <row r="149" spans="1:13" x14ac:dyDescent="0.3">
      <c r="A149" t="s">
        <v>245</v>
      </c>
      <c r="B149" s="3">
        <v>46332</v>
      </c>
      <c r="C149" s="1" t="s">
        <v>23</v>
      </c>
      <c r="D149" t="s">
        <v>24</v>
      </c>
      <c r="E149" s="22" t="s">
        <v>25</v>
      </c>
      <c r="F149" t="s">
        <v>83</v>
      </c>
      <c r="G149" s="1">
        <v>10</v>
      </c>
      <c r="H149" s="1">
        <v>13200</v>
      </c>
      <c r="I149" s="21">
        <v>132000</v>
      </c>
      <c r="J149" s="4">
        <v>46342</v>
      </c>
      <c r="K149" s="4">
        <v>46345</v>
      </c>
      <c r="L149" t="s">
        <v>84</v>
      </c>
      <c r="M149" s="21" t="s">
        <v>119</v>
      </c>
    </row>
    <row r="150" spans="1:13" x14ac:dyDescent="0.3">
      <c r="A150" t="s">
        <v>246</v>
      </c>
      <c r="B150" s="3">
        <v>46334</v>
      </c>
      <c r="C150" s="1" t="s">
        <v>26</v>
      </c>
      <c r="D150" t="s">
        <v>27</v>
      </c>
      <c r="E150" s="22" t="s">
        <v>5</v>
      </c>
      <c r="F150" t="s">
        <v>86</v>
      </c>
      <c r="G150" s="1">
        <v>57</v>
      </c>
      <c r="H150" s="1">
        <v>170</v>
      </c>
      <c r="I150" s="21">
        <v>9690</v>
      </c>
      <c r="J150" s="4">
        <v>46342</v>
      </c>
      <c r="K150" s="4">
        <v>46346</v>
      </c>
      <c r="L150" t="s">
        <v>81</v>
      </c>
      <c r="M150" s="21" t="s">
        <v>119</v>
      </c>
    </row>
    <row r="151" spans="1:13" x14ac:dyDescent="0.3">
      <c r="A151" t="s">
        <v>247</v>
      </c>
      <c r="B151" s="3">
        <v>46336</v>
      </c>
      <c r="C151" s="1" t="s">
        <v>28</v>
      </c>
      <c r="D151" t="s">
        <v>29</v>
      </c>
      <c r="E151" s="22" t="s">
        <v>30</v>
      </c>
      <c r="F151" t="s">
        <v>88</v>
      </c>
      <c r="G151" s="1">
        <v>4</v>
      </c>
      <c r="H151" s="1">
        <v>28750</v>
      </c>
      <c r="I151" s="21">
        <v>115000</v>
      </c>
      <c r="J151" s="4">
        <v>46345</v>
      </c>
      <c r="K151" s="4">
        <v>46344</v>
      </c>
      <c r="L151" t="s">
        <v>84</v>
      </c>
      <c r="M151" s="21" t="s">
        <v>117</v>
      </c>
    </row>
    <row r="152" spans="1:13" x14ac:dyDescent="0.3">
      <c r="A152" t="s">
        <v>248</v>
      </c>
      <c r="B152" s="3">
        <v>46338</v>
      </c>
      <c r="C152" s="1" t="s">
        <v>31</v>
      </c>
      <c r="D152" t="s">
        <v>32</v>
      </c>
      <c r="E152" s="22" t="s">
        <v>33</v>
      </c>
      <c r="F152" t="s">
        <v>92</v>
      </c>
      <c r="G152" s="1">
        <v>11</v>
      </c>
      <c r="H152" s="1">
        <v>27000</v>
      </c>
      <c r="I152" s="21">
        <v>297000</v>
      </c>
      <c r="J152" s="4">
        <v>46349</v>
      </c>
      <c r="K152" s="4">
        <v>46352</v>
      </c>
      <c r="L152" t="s">
        <v>81</v>
      </c>
      <c r="M152" s="21" t="s">
        <v>119</v>
      </c>
    </row>
    <row r="153" spans="1:13" x14ac:dyDescent="0.3">
      <c r="A153" t="s">
        <v>249</v>
      </c>
      <c r="B153" s="3">
        <v>46340</v>
      </c>
      <c r="C153" s="1" t="s">
        <v>34</v>
      </c>
      <c r="D153" t="s">
        <v>35</v>
      </c>
      <c r="E153" s="22" t="s">
        <v>8</v>
      </c>
      <c r="F153" t="s">
        <v>95</v>
      </c>
      <c r="G153" s="1">
        <v>42</v>
      </c>
      <c r="H153" s="1">
        <v>375</v>
      </c>
      <c r="I153" s="21">
        <v>15750</v>
      </c>
      <c r="J153" s="4">
        <v>46349</v>
      </c>
      <c r="K153" s="4">
        <v>46353</v>
      </c>
      <c r="L153" t="s">
        <v>89</v>
      </c>
      <c r="M153" s="21" t="s">
        <v>119</v>
      </c>
    </row>
    <row r="154" spans="1:13" x14ac:dyDescent="0.3">
      <c r="A154" t="s">
        <v>250</v>
      </c>
      <c r="B154" s="3">
        <v>46342</v>
      </c>
      <c r="C154" s="1" t="s">
        <v>36</v>
      </c>
      <c r="D154" t="s">
        <v>37</v>
      </c>
      <c r="E154" s="22" t="s">
        <v>11</v>
      </c>
      <c r="F154" t="s">
        <v>80</v>
      </c>
      <c r="G154" s="1">
        <v>34</v>
      </c>
      <c r="H154" s="1">
        <v>550</v>
      </c>
      <c r="I154" s="21">
        <v>18700</v>
      </c>
      <c r="J154" s="4">
        <v>46352</v>
      </c>
      <c r="K154" s="4">
        <v>46351</v>
      </c>
      <c r="L154" t="s">
        <v>84</v>
      </c>
      <c r="M154" s="21" t="s">
        <v>117</v>
      </c>
    </row>
    <row r="155" spans="1:13" x14ac:dyDescent="0.3">
      <c r="A155" t="s">
        <v>251</v>
      </c>
      <c r="B155" s="3">
        <v>46344</v>
      </c>
      <c r="C155" s="1" t="s">
        <v>38</v>
      </c>
      <c r="D155" t="s">
        <v>39</v>
      </c>
      <c r="E155" s="22" t="s">
        <v>22</v>
      </c>
      <c r="F155" t="s">
        <v>83</v>
      </c>
      <c r="G155" s="1">
        <v>9</v>
      </c>
      <c r="H155" s="1">
        <v>14400</v>
      </c>
      <c r="I155" s="21">
        <v>129600</v>
      </c>
      <c r="J155" s="4">
        <v>46355</v>
      </c>
      <c r="K155" s="4">
        <v>46358</v>
      </c>
      <c r="L155" t="s">
        <v>81</v>
      </c>
      <c r="M155" s="21" t="s">
        <v>119</v>
      </c>
    </row>
    <row r="156" spans="1:13" x14ac:dyDescent="0.3">
      <c r="A156" t="s">
        <v>252</v>
      </c>
      <c r="B156" s="3">
        <v>46346</v>
      </c>
      <c r="C156" s="1" t="s">
        <v>40</v>
      </c>
      <c r="D156" t="s">
        <v>41</v>
      </c>
      <c r="E156" s="22" t="s">
        <v>14</v>
      </c>
      <c r="F156" t="s">
        <v>86</v>
      </c>
      <c r="G156" s="1">
        <v>58</v>
      </c>
      <c r="H156" s="1">
        <v>190</v>
      </c>
      <c r="I156" s="21">
        <v>11020</v>
      </c>
      <c r="J156" s="4">
        <v>46362</v>
      </c>
      <c r="K156" s="4">
        <v>46366</v>
      </c>
      <c r="L156" t="s">
        <v>84</v>
      </c>
      <c r="M156" s="21" t="s">
        <v>119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76B64-F1B2-46D3-B53E-DACE8E0DC3C3}">
  <dimension ref="A1:C16"/>
  <sheetViews>
    <sheetView workbookViewId="0">
      <selection activeCell="E18" sqref="E18"/>
    </sheetView>
  </sheetViews>
  <sheetFormatPr defaultRowHeight="14.4" x14ac:dyDescent="0.3"/>
  <cols>
    <col min="1" max="1" width="16" customWidth="1"/>
    <col min="2" max="2" width="43.88671875" customWidth="1"/>
    <col min="3" max="3" width="36.6640625" customWidth="1"/>
  </cols>
  <sheetData>
    <row r="1" spans="1:3" x14ac:dyDescent="0.3">
      <c r="A1" t="s">
        <v>0</v>
      </c>
      <c r="B1" t="s">
        <v>57</v>
      </c>
      <c r="C1" t="s">
        <v>69</v>
      </c>
    </row>
    <row r="2" spans="1:3" x14ac:dyDescent="0.3">
      <c r="A2" t="s">
        <v>3</v>
      </c>
      <c r="B2" t="s">
        <v>42</v>
      </c>
      <c r="C2" t="s">
        <v>58</v>
      </c>
    </row>
    <row r="3" spans="1:3" x14ac:dyDescent="0.3">
      <c r="A3" t="s">
        <v>6</v>
      </c>
      <c r="B3" t="s">
        <v>43</v>
      </c>
      <c r="C3" t="s">
        <v>59</v>
      </c>
    </row>
    <row r="4" spans="1:3" x14ac:dyDescent="0.3">
      <c r="A4" t="s">
        <v>9</v>
      </c>
      <c r="B4" t="s">
        <v>44</v>
      </c>
      <c r="C4" t="s">
        <v>60</v>
      </c>
    </row>
    <row r="5" spans="1:3" x14ac:dyDescent="0.3">
      <c r="A5" t="s">
        <v>12</v>
      </c>
      <c r="B5" t="s">
        <v>45</v>
      </c>
      <c r="C5" t="s">
        <v>61</v>
      </c>
    </row>
    <row r="6" spans="1:3" x14ac:dyDescent="0.3">
      <c r="A6" t="s">
        <v>15</v>
      </c>
      <c r="B6" t="s">
        <v>46</v>
      </c>
      <c r="C6" t="s">
        <v>62</v>
      </c>
    </row>
    <row r="7" spans="1:3" x14ac:dyDescent="0.3">
      <c r="A7" t="s">
        <v>17</v>
      </c>
      <c r="B7" t="s">
        <v>47</v>
      </c>
      <c r="C7" t="s">
        <v>63</v>
      </c>
    </row>
    <row r="8" spans="1:3" x14ac:dyDescent="0.3">
      <c r="A8" t="s">
        <v>20</v>
      </c>
      <c r="B8" t="s">
        <v>48</v>
      </c>
      <c r="C8" t="s">
        <v>64</v>
      </c>
    </row>
    <row r="9" spans="1:3" x14ac:dyDescent="0.3">
      <c r="A9" t="s">
        <v>23</v>
      </c>
      <c r="B9" t="s">
        <v>49</v>
      </c>
      <c r="C9" t="s">
        <v>65</v>
      </c>
    </row>
    <row r="10" spans="1:3" x14ac:dyDescent="0.3">
      <c r="A10" t="s">
        <v>26</v>
      </c>
      <c r="B10" t="s">
        <v>50</v>
      </c>
      <c r="C10" t="s">
        <v>62</v>
      </c>
    </row>
    <row r="11" spans="1:3" x14ac:dyDescent="0.3">
      <c r="A11" t="s">
        <v>28</v>
      </c>
      <c r="B11" t="s">
        <v>51</v>
      </c>
      <c r="C11" t="s">
        <v>66</v>
      </c>
    </row>
    <row r="12" spans="1:3" x14ac:dyDescent="0.3">
      <c r="A12" t="s">
        <v>31</v>
      </c>
      <c r="B12" t="s">
        <v>52</v>
      </c>
      <c r="C12" t="s">
        <v>67</v>
      </c>
    </row>
    <row r="13" spans="1:3" x14ac:dyDescent="0.3">
      <c r="A13" t="s">
        <v>34</v>
      </c>
      <c r="B13" t="s">
        <v>53</v>
      </c>
      <c r="C13" t="s">
        <v>68</v>
      </c>
    </row>
    <row r="14" spans="1:3" x14ac:dyDescent="0.3">
      <c r="A14" t="s">
        <v>36</v>
      </c>
      <c r="B14" t="s">
        <v>54</v>
      </c>
      <c r="C14" t="s">
        <v>60</v>
      </c>
    </row>
    <row r="15" spans="1:3" x14ac:dyDescent="0.3">
      <c r="A15" t="s">
        <v>38</v>
      </c>
      <c r="B15" t="s">
        <v>55</v>
      </c>
      <c r="C15" t="s">
        <v>64</v>
      </c>
    </row>
    <row r="16" spans="1:3" x14ac:dyDescent="0.3">
      <c r="A16" t="s">
        <v>40</v>
      </c>
      <c r="B16" t="s">
        <v>56</v>
      </c>
      <c r="C16" t="s">
        <v>61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97D90-AEBE-4F4C-84A6-AB6FC7D72E26}">
  <dimension ref="A1:B35"/>
  <sheetViews>
    <sheetView zoomScale="85" zoomScaleNormal="85" workbookViewId="0">
      <selection activeCell="E24" sqref="E24"/>
    </sheetView>
  </sheetViews>
  <sheetFormatPr defaultRowHeight="14.4" x14ac:dyDescent="0.3"/>
  <cols>
    <col min="1" max="1" width="20.88671875" customWidth="1"/>
    <col min="2" max="2" width="26.88671875" customWidth="1"/>
  </cols>
  <sheetData>
    <row r="1" spans="1:2" x14ac:dyDescent="0.3">
      <c r="A1" s="12" t="s">
        <v>112</v>
      </c>
      <c r="B1" s="13"/>
    </row>
    <row r="2" spans="1:2" x14ac:dyDescent="0.3">
      <c r="A2" s="14"/>
      <c r="B2" s="15"/>
    </row>
    <row r="3" spans="1:2" x14ac:dyDescent="0.3">
      <c r="A3" s="16" t="s">
        <v>109</v>
      </c>
      <c r="B3" s="17">
        <f>COUNTA('PO Data'!A2:A156)</f>
        <v>155</v>
      </c>
    </row>
    <row r="4" spans="1:2" x14ac:dyDescent="0.3">
      <c r="A4" s="16" t="s">
        <v>110</v>
      </c>
      <c r="B4" s="17">
        <f>SUM('PO Data'!I2:I156)</f>
        <v>11586875</v>
      </c>
    </row>
    <row r="5" spans="1:2" x14ac:dyDescent="0.3">
      <c r="A5" s="16" t="s">
        <v>81</v>
      </c>
      <c r="B5" s="17">
        <f>COUNTIF('PO Data'!L2:L156,"Delivered")</f>
        <v>64</v>
      </c>
    </row>
    <row r="6" spans="1:2" x14ac:dyDescent="0.3">
      <c r="A6" s="16" t="s">
        <v>84</v>
      </c>
      <c r="B6" s="17">
        <f>COUNTIF('PO Data'!L2:L156,"Pending")</f>
        <v>60</v>
      </c>
    </row>
    <row r="7" spans="1:2" x14ac:dyDescent="0.3">
      <c r="A7" s="16" t="s">
        <v>89</v>
      </c>
      <c r="B7" s="17">
        <f>COUNTIF('PO Data'!L2:L156,"Partially Delivered")</f>
        <v>31</v>
      </c>
    </row>
    <row r="8" spans="1:2" x14ac:dyDescent="0.3">
      <c r="A8" s="16" t="s">
        <v>111</v>
      </c>
      <c r="B8" s="17">
        <f>COUNTIF('PO Data'!M2:M156,"Late")</f>
        <v>100</v>
      </c>
    </row>
    <row r="9" spans="1:2" x14ac:dyDescent="0.3">
      <c r="B9" s="1"/>
    </row>
    <row r="10" spans="1:2" x14ac:dyDescent="0.3">
      <c r="A10" s="10" t="s">
        <v>72</v>
      </c>
      <c r="B10" s="11" t="s">
        <v>113</v>
      </c>
    </row>
    <row r="11" spans="1:2" x14ac:dyDescent="0.3">
      <c r="A11" s="6" t="s">
        <v>80</v>
      </c>
      <c r="B11" s="7">
        <f>SUMIF('PO Data'!F:F,A11,'PO Data'!I:I)</f>
        <v>433600</v>
      </c>
    </row>
    <row r="12" spans="1:2" x14ac:dyDescent="0.3">
      <c r="A12" s="6" t="s">
        <v>83</v>
      </c>
      <c r="B12" s="7">
        <f>SUMIF('PO Data'!F:F,A12,'PO Data'!I:I)</f>
        <v>2449400</v>
      </c>
    </row>
    <row r="13" spans="1:2" x14ac:dyDescent="0.3">
      <c r="A13" s="6" t="s">
        <v>86</v>
      </c>
      <c r="B13" s="7">
        <f>SUMIF('PO Data'!F:F,A13,'PO Data'!I:I)</f>
        <v>271310</v>
      </c>
    </row>
    <row r="14" spans="1:2" x14ac:dyDescent="0.3">
      <c r="A14" s="6" t="s">
        <v>88</v>
      </c>
      <c r="B14" s="7">
        <f>SUMIF('PO Data'!F:F,A14,'PO Data'!I:I)</f>
        <v>2836250</v>
      </c>
    </row>
    <row r="15" spans="1:2" x14ac:dyDescent="0.3">
      <c r="A15" s="6" t="s">
        <v>92</v>
      </c>
      <c r="B15" s="7">
        <f>SUMIF('PO Data'!F:F,A15,'PO Data'!I:I)</f>
        <v>5263700</v>
      </c>
    </row>
    <row r="16" spans="1:2" x14ac:dyDescent="0.3">
      <c r="A16" s="6" t="s">
        <v>95</v>
      </c>
      <c r="B16" s="7">
        <f>SUMIF('PO Data'!F:F,A16,'PO Data'!I:I)</f>
        <v>332615</v>
      </c>
    </row>
    <row r="19" spans="1:2" x14ac:dyDescent="0.3">
      <c r="A19" s="29" t="s">
        <v>253</v>
      </c>
      <c r="B19" s="30"/>
    </row>
    <row r="20" spans="1:2" x14ac:dyDescent="0.3">
      <c r="A20" s="31" t="s">
        <v>1</v>
      </c>
      <c r="B20" s="31" t="s">
        <v>110</v>
      </c>
    </row>
    <row r="21" spans="1:2" x14ac:dyDescent="0.3">
      <c r="A21" s="32" t="s">
        <v>4</v>
      </c>
      <c r="B21" s="32">
        <f>SUMIF('PO Data'!$D$2:$D$156,A21,'PO Data'!$I$2:$I$156)</f>
        <v>426850</v>
      </c>
    </row>
    <row r="22" spans="1:2" x14ac:dyDescent="0.3">
      <c r="A22" s="32" t="s">
        <v>7</v>
      </c>
      <c r="B22" s="32">
        <f>SUMIF('PO Data'!$D$2:$D$156,A22,'PO Data'!$I$2:$I$156)</f>
        <v>1445600</v>
      </c>
    </row>
    <row r="23" spans="1:2" x14ac:dyDescent="0.3">
      <c r="A23" s="32" t="s">
        <v>10</v>
      </c>
      <c r="B23" s="32">
        <f>SUMIF('PO Data'!$D$2:$D$156,A23,'PO Data'!$I$2:$I$156)</f>
        <v>125740</v>
      </c>
    </row>
    <row r="24" spans="1:2" x14ac:dyDescent="0.3">
      <c r="A24" s="32" t="s">
        <v>13</v>
      </c>
      <c r="B24" s="32">
        <f>SUMIF('PO Data'!$D$2:$D$156,A24,'PO Data'!$I$2:$I$156)</f>
        <v>861850</v>
      </c>
    </row>
    <row r="25" spans="1:2" x14ac:dyDescent="0.3">
      <c r="A25" s="32" t="s">
        <v>16</v>
      </c>
      <c r="B25" s="32">
        <f>SUMIF('PO Data'!$D$2:$D$156,A25,'PO Data'!$I$2:$I$156)</f>
        <v>1542700</v>
      </c>
    </row>
    <row r="26" spans="1:2" x14ac:dyDescent="0.3">
      <c r="A26" s="32" t="s">
        <v>18</v>
      </c>
      <c r="B26" s="32">
        <f>SUMIF('PO Data'!$D$2:$D$156,A26,'PO Data'!$I$2:$I$156)</f>
        <v>251220</v>
      </c>
    </row>
    <row r="27" spans="1:2" x14ac:dyDescent="0.3">
      <c r="A27" s="32" t="s">
        <v>21</v>
      </c>
      <c r="B27" s="32">
        <f>SUMIF('PO Data'!$D$2:$D$156,A27,'PO Data'!$I$2:$I$156)</f>
        <v>568050</v>
      </c>
    </row>
    <row r="28" spans="1:2" x14ac:dyDescent="0.3">
      <c r="A28" s="32" t="s">
        <v>24</v>
      </c>
      <c r="B28" s="32">
        <f>SUMIF('PO Data'!$D$2:$D$156,A28,'PO Data'!$I$2:$I$156)</f>
        <v>1520100</v>
      </c>
    </row>
    <row r="29" spans="1:2" x14ac:dyDescent="0.3">
      <c r="A29" s="32" t="s">
        <v>27</v>
      </c>
      <c r="B29" s="32">
        <f>SUMIF('PO Data'!$D$2:$D$156,A29,'PO Data'!$I$2:$I$156)</f>
        <v>203505</v>
      </c>
    </row>
    <row r="30" spans="1:2" x14ac:dyDescent="0.3">
      <c r="A30" s="32" t="s">
        <v>29</v>
      </c>
      <c r="B30" s="32">
        <f>SUMIF('PO Data'!$D$2:$D$156,A30,'PO Data'!$I$2:$I$156)</f>
        <v>559825</v>
      </c>
    </row>
    <row r="31" spans="1:2" x14ac:dyDescent="0.3">
      <c r="A31" s="32" t="s">
        <v>32</v>
      </c>
      <c r="B31" s="32">
        <f>SUMIF('PO Data'!$D$2:$D$156,A31,'PO Data'!$I$2:$I$156)</f>
        <v>1735000</v>
      </c>
    </row>
    <row r="32" spans="1:2" x14ac:dyDescent="0.3">
      <c r="A32" s="32" t="s">
        <v>35</v>
      </c>
      <c r="B32" s="32">
        <f>SUMIF('PO Data'!$D$2:$D$156,A32,'PO Data'!$I$2:$I$156)</f>
        <v>122340</v>
      </c>
    </row>
    <row r="33" spans="1:2" x14ac:dyDescent="0.3">
      <c r="A33" s="32" t="s">
        <v>37</v>
      </c>
      <c r="B33" s="32">
        <f>SUMIF('PO Data'!$D$2:$D$156,A33,'PO Data'!$I$2:$I$156)</f>
        <v>721525</v>
      </c>
    </row>
    <row r="34" spans="1:2" x14ac:dyDescent="0.3">
      <c r="A34" s="32" t="s">
        <v>39</v>
      </c>
      <c r="B34" s="32">
        <f>SUMIF('PO Data'!$D$2:$D$156,A34,'PO Data'!$I$2:$I$156)</f>
        <v>1360200</v>
      </c>
    </row>
    <row r="35" spans="1:2" x14ac:dyDescent="0.3">
      <c r="A35" s="32" t="s">
        <v>41</v>
      </c>
      <c r="B35" s="32">
        <f>SUMIF('PO Data'!$D$2:$D$156,A35,'PO Data'!$I$2:$I$156)</f>
        <v>132370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9C0CF-2E85-4FB1-AC49-A6C9768C04AF}">
  <dimension ref="A3:B15"/>
  <sheetViews>
    <sheetView tabSelected="1" workbookViewId="0">
      <selection activeCell="H14" sqref="H14"/>
    </sheetView>
  </sheetViews>
  <sheetFormatPr defaultRowHeight="14.4" x14ac:dyDescent="0.3"/>
  <cols>
    <col min="1" max="1" width="12.5546875" bestFit="1" customWidth="1"/>
    <col min="2" max="2" width="15.21875" bestFit="1" customWidth="1"/>
  </cols>
  <sheetData>
    <row r="3" spans="1:2" x14ac:dyDescent="0.3">
      <c r="A3" s="33" t="s">
        <v>254</v>
      </c>
      <c r="B3" t="s">
        <v>267</v>
      </c>
    </row>
    <row r="4" spans="1:2" x14ac:dyDescent="0.3">
      <c r="A4" s="22" t="s">
        <v>256</v>
      </c>
      <c r="B4" s="21">
        <v>674000</v>
      </c>
    </row>
    <row r="5" spans="1:2" x14ac:dyDescent="0.3">
      <c r="A5" s="22" t="s">
        <v>257</v>
      </c>
      <c r="B5" s="21">
        <v>440850</v>
      </c>
    </row>
    <row r="6" spans="1:2" x14ac:dyDescent="0.3">
      <c r="A6" s="22" t="s">
        <v>258</v>
      </c>
      <c r="B6" s="21">
        <v>1107990</v>
      </c>
    </row>
    <row r="7" spans="1:2" x14ac:dyDescent="0.3">
      <c r="A7" s="22" t="s">
        <v>259</v>
      </c>
      <c r="B7" s="21">
        <v>985795</v>
      </c>
    </row>
    <row r="8" spans="1:2" x14ac:dyDescent="0.3">
      <c r="A8" s="22" t="s">
        <v>260</v>
      </c>
      <c r="B8" s="21">
        <v>1222075</v>
      </c>
    </row>
    <row r="9" spans="1:2" x14ac:dyDescent="0.3">
      <c r="A9" s="22" t="s">
        <v>261</v>
      </c>
      <c r="B9" s="21">
        <v>1098210</v>
      </c>
    </row>
    <row r="10" spans="1:2" x14ac:dyDescent="0.3">
      <c r="A10" s="22" t="s">
        <v>262</v>
      </c>
      <c r="B10" s="21">
        <v>1350375</v>
      </c>
    </row>
    <row r="11" spans="1:2" x14ac:dyDescent="0.3">
      <c r="A11" s="22" t="s">
        <v>263</v>
      </c>
      <c r="B11" s="21">
        <v>1197845</v>
      </c>
    </row>
    <row r="12" spans="1:2" x14ac:dyDescent="0.3">
      <c r="A12" s="22" t="s">
        <v>264</v>
      </c>
      <c r="B12" s="21">
        <v>1186285</v>
      </c>
    </row>
    <row r="13" spans="1:2" x14ac:dyDescent="0.3">
      <c r="A13" s="22" t="s">
        <v>265</v>
      </c>
      <c r="B13" s="21">
        <v>1564780</v>
      </c>
    </row>
    <row r="14" spans="1:2" x14ac:dyDescent="0.3">
      <c r="A14" s="22" t="s">
        <v>266</v>
      </c>
      <c r="B14" s="21">
        <v>758670</v>
      </c>
    </row>
    <row r="15" spans="1:2" x14ac:dyDescent="0.3">
      <c r="A15" s="22" t="s">
        <v>255</v>
      </c>
      <c r="B15" s="21">
        <v>11586875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73CF9-F5FB-4380-9D8C-CC7603D653DB}">
  <dimension ref="A1:M23"/>
  <sheetViews>
    <sheetView workbookViewId="0">
      <selection activeCell="K23" sqref="K23"/>
    </sheetView>
  </sheetViews>
  <sheetFormatPr defaultRowHeight="14.4" x14ac:dyDescent="0.3"/>
  <cols>
    <col min="1" max="1" width="18.33203125" customWidth="1"/>
    <col min="2" max="2" width="12.109375" customWidth="1"/>
    <col min="3" max="3" width="7.44140625" customWidth="1"/>
    <col min="4" max="4" width="16.6640625" customWidth="1"/>
    <col min="11" max="11" width="21.33203125" customWidth="1"/>
    <col min="12" max="12" width="12.6640625" customWidth="1"/>
    <col min="13" max="13" width="14.21875" customWidth="1"/>
  </cols>
  <sheetData>
    <row r="1" spans="1:13" x14ac:dyDescent="0.3">
      <c r="A1" s="20" t="s">
        <v>115</v>
      </c>
      <c r="B1" s="20"/>
      <c r="K1" s="27" t="s">
        <v>1</v>
      </c>
      <c r="L1" s="28" t="s">
        <v>110</v>
      </c>
      <c r="M1" s="24"/>
    </row>
    <row r="2" spans="1:13" x14ac:dyDescent="0.3">
      <c r="A2" s="18"/>
      <c r="B2" s="18"/>
      <c r="K2" s="25" t="s">
        <v>4</v>
      </c>
      <c r="L2" s="26">
        <f>SUMIF('PO Data'!$D$2:$D$156,K2,'PO Data'!$I$2:$I$156)</f>
        <v>426850</v>
      </c>
      <c r="M2" s="1"/>
    </row>
    <row r="3" spans="1:13" x14ac:dyDescent="0.3">
      <c r="A3" s="19" t="s">
        <v>109</v>
      </c>
      <c r="B3" s="23">
        <f>COUNTA('PO Data'!A2:A156)</f>
        <v>155</v>
      </c>
      <c r="K3" s="25" t="s">
        <v>7</v>
      </c>
      <c r="L3" s="26">
        <f>SUMIF('PO Data'!$D$2:$D$156,K3,'PO Data'!$I$2:$I$156)</f>
        <v>1445600</v>
      </c>
      <c r="M3" s="1"/>
    </row>
    <row r="4" spans="1:13" x14ac:dyDescent="0.3">
      <c r="A4" s="19" t="s">
        <v>110</v>
      </c>
      <c r="B4" s="23">
        <f>SUM('PO Data'!I2:I156)</f>
        <v>11586875</v>
      </c>
      <c r="K4" s="25" t="s">
        <v>10</v>
      </c>
      <c r="L4" s="26">
        <f>SUMIF('PO Data'!$D$2:$D$156,K4,'PO Data'!$I$2:$I$156)</f>
        <v>125740</v>
      </c>
      <c r="M4" s="1"/>
    </row>
    <row r="5" spans="1:13" x14ac:dyDescent="0.3">
      <c r="A5" s="19" t="s">
        <v>84</v>
      </c>
      <c r="B5" s="23">
        <f>COUNTIF('PO Data'!L2:L156,"Pending")</f>
        <v>60</v>
      </c>
      <c r="K5" s="25" t="s">
        <v>13</v>
      </c>
      <c r="L5" s="26">
        <f>SUMIF('PO Data'!$D$2:$D$156,K5,'PO Data'!$I$2:$I$156)</f>
        <v>861850</v>
      </c>
      <c r="M5" s="1"/>
    </row>
    <row r="6" spans="1:13" x14ac:dyDescent="0.3">
      <c r="A6" s="19" t="s">
        <v>89</v>
      </c>
      <c r="B6" s="23">
        <f>COUNTIF('PO Data'!L2:L156,"Partially Delivered")</f>
        <v>31</v>
      </c>
      <c r="K6" s="25" t="s">
        <v>16</v>
      </c>
      <c r="L6" s="26">
        <f>SUMIF('PO Data'!$D$2:$D$156,K6,'PO Data'!$I$2:$I$156)</f>
        <v>1542700</v>
      </c>
      <c r="M6" s="1"/>
    </row>
    <row r="7" spans="1:13" x14ac:dyDescent="0.3">
      <c r="A7" s="19" t="s">
        <v>111</v>
      </c>
      <c r="B7" s="23">
        <f>COUNTIF('PO Data'!M2:M156,"Late")</f>
        <v>100</v>
      </c>
      <c r="K7" s="25" t="s">
        <v>18</v>
      </c>
      <c r="L7" s="26">
        <f>SUMIF('PO Data'!$D$2:$D$156,K7,'PO Data'!$I$2:$I$156)</f>
        <v>251220</v>
      </c>
      <c r="M7" s="1"/>
    </row>
    <row r="8" spans="1:13" x14ac:dyDescent="0.3">
      <c r="A8" s="5"/>
      <c r="B8" s="1"/>
      <c r="K8" s="25" t="s">
        <v>21</v>
      </c>
      <c r="L8" s="26">
        <f>SUMIF('PO Data'!$D$2:$D$156,K8,'PO Data'!$I$2:$I$156)</f>
        <v>568050</v>
      </c>
      <c r="M8" s="1"/>
    </row>
    <row r="9" spans="1:13" x14ac:dyDescent="0.3">
      <c r="A9" s="8" t="s">
        <v>72</v>
      </c>
      <c r="B9" s="9" t="s">
        <v>110</v>
      </c>
      <c r="K9" s="25" t="s">
        <v>24</v>
      </c>
      <c r="L9" s="26">
        <f>SUMIF('PO Data'!$D$2:$D$156,K9,'PO Data'!$I$2:$I$156)</f>
        <v>1520100</v>
      </c>
      <c r="M9" s="1"/>
    </row>
    <row r="10" spans="1:13" x14ac:dyDescent="0.3">
      <c r="A10" s="6" t="s">
        <v>80</v>
      </c>
      <c r="B10" s="7">
        <f>SUMIF('PO Data'!F2:F156,A10,'PO Data'!I2:I156)</f>
        <v>433600</v>
      </c>
      <c r="K10" s="25" t="s">
        <v>27</v>
      </c>
      <c r="L10" s="26">
        <f>SUMIF('PO Data'!$D$2:$D$156,K10,'PO Data'!$I$2:$I$156)</f>
        <v>203505</v>
      </c>
      <c r="M10" s="1"/>
    </row>
    <row r="11" spans="1:13" x14ac:dyDescent="0.3">
      <c r="A11" s="6" t="s">
        <v>83</v>
      </c>
      <c r="B11" s="7">
        <f>SUMIF('PO Data'!$F$2:$F$156,A11,'PO Data'!$I$2:$I$156)</f>
        <v>2449400</v>
      </c>
      <c r="K11" s="25" t="s">
        <v>29</v>
      </c>
      <c r="L11" s="26">
        <f>SUMIF('PO Data'!$D$2:$D$156,K11,'PO Data'!$I$2:$I$156)</f>
        <v>559825</v>
      </c>
      <c r="M11" s="1"/>
    </row>
    <row r="12" spans="1:13" x14ac:dyDescent="0.3">
      <c r="A12" s="6" t="s">
        <v>86</v>
      </c>
      <c r="B12" s="7">
        <f>SUMIF('PO Data'!$F$2:$F$156,A12,'PO Data'!$I$2:$I$156)</f>
        <v>271310</v>
      </c>
      <c r="K12" s="25" t="s">
        <v>32</v>
      </c>
      <c r="L12" s="26">
        <f>SUMIF('PO Data'!$D$2:$D$156,K12,'PO Data'!$I$2:$I$156)</f>
        <v>1735000</v>
      </c>
      <c r="M12" s="1"/>
    </row>
    <row r="13" spans="1:13" x14ac:dyDescent="0.3">
      <c r="A13" s="6" t="s">
        <v>88</v>
      </c>
      <c r="B13" s="7">
        <f>SUMIF('PO Data'!$F$2:$F$156,A13,'PO Data'!$I$2:$I$156)</f>
        <v>2836250</v>
      </c>
      <c r="K13" s="25" t="s">
        <v>35</v>
      </c>
      <c r="L13" s="26">
        <f>SUMIF('PO Data'!$D$2:$D$156,K13,'PO Data'!$I$2:$I$156)</f>
        <v>122340</v>
      </c>
      <c r="M13" s="1"/>
    </row>
    <row r="14" spans="1:13" x14ac:dyDescent="0.3">
      <c r="A14" s="6" t="s">
        <v>92</v>
      </c>
      <c r="B14" s="7">
        <f>SUMIF('PO Data'!$F$2:$F$156,A14,'PO Data'!$I$2:$I$156)</f>
        <v>5263700</v>
      </c>
      <c r="K14" s="25" t="s">
        <v>37</v>
      </c>
      <c r="L14" s="26">
        <f>SUMIF('PO Data'!$D$2:$D$156,K14,'PO Data'!$I$2:$I$156)</f>
        <v>721525</v>
      </c>
      <c r="M14" s="1"/>
    </row>
    <row r="15" spans="1:13" x14ac:dyDescent="0.3">
      <c r="A15" s="6" t="s">
        <v>95</v>
      </c>
      <c r="B15" s="7">
        <f>SUMIF('PO Data'!$F$2:$F$156,A15,'PO Data'!$I$2:$I$156)</f>
        <v>332615</v>
      </c>
      <c r="K15" s="25" t="s">
        <v>39</v>
      </c>
      <c r="L15" s="26">
        <f>SUMIF('PO Data'!$D$2:$D$156,K15,'PO Data'!$I$2:$I$156)</f>
        <v>1360200</v>
      </c>
      <c r="M15" s="1"/>
    </row>
    <row r="16" spans="1:13" x14ac:dyDescent="0.3">
      <c r="K16" s="25" t="s">
        <v>41</v>
      </c>
      <c r="L16" s="26">
        <f>SUMIF('PO Data'!$D$2:$D$156,K16,'PO Data'!$I$2:$I$156)</f>
        <v>132370</v>
      </c>
      <c r="M16" s="1"/>
    </row>
    <row r="18" spans="1:2" x14ac:dyDescent="0.3">
      <c r="A18" s="8" t="s">
        <v>78</v>
      </c>
      <c r="B18" s="9" t="s">
        <v>114</v>
      </c>
    </row>
    <row r="19" spans="1:2" x14ac:dyDescent="0.3">
      <c r="A19" s="6" t="s">
        <v>81</v>
      </c>
      <c r="B19" s="7">
        <f>COUNTIF('PO Data'!L:L,A19)</f>
        <v>64</v>
      </c>
    </row>
    <row r="20" spans="1:2" x14ac:dyDescent="0.3">
      <c r="A20" s="6" t="s">
        <v>84</v>
      </c>
      <c r="B20" s="7">
        <f>COUNTIF('PO Data'!L:L,A20)</f>
        <v>60</v>
      </c>
    </row>
    <row r="21" spans="1:2" x14ac:dyDescent="0.3">
      <c r="A21" s="6" t="s">
        <v>89</v>
      </c>
      <c r="B21" s="7">
        <f>COUNTIF('PO Data'!$L$2:$L$156,A21)</f>
        <v>31</v>
      </c>
    </row>
    <row r="22" spans="1:2" x14ac:dyDescent="0.3">
      <c r="A22" s="6" t="s">
        <v>111</v>
      </c>
      <c r="B22" s="7">
        <f>COUNTIF('PO Data'!M:M,"Late")</f>
        <v>100</v>
      </c>
    </row>
    <row r="23" spans="1:2" x14ac:dyDescent="0.3">
      <c r="A23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 Data</vt:lpstr>
      <vt:lpstr>Supplier Master</vt:lpstr>
      <vt:lpstr>Analysis</vt:lpstr>
      <vt:lpstr>Month-wise 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sipun mohanty</dc:creator>
  <cp:lastModifiedBy>sipun mohanty</cp:lastModifiedBy>
  <cp:lastPrinted>2026-10-03T15:09:31Z</cp:lastPrinted>
  <dcterms:created xsi:type="dcterms:W3CDTF">2026-10-01T18:08:38Z</dcterms:created>
  <dcterms:modified xsi:type="dcterms:W3CDTF">2026-10-03T15:10:03Z</dcterms:modified>
</cp:coreProperties>
</file>